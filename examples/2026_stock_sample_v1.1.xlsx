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2FE2ACFE-5FFA-40BB-8F23-5E8B7D689F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포트폴리오 현황" sheetId="1" r:id="rId1"/>
    <sheet name="월별 계좌 성과" sheetId="2" r:id="rId2"/>
    <sheet name="종목별 보유현황" sheetId="3" r:id="rId3"/>
    <sheet name="설정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3" i="3" l="1"/>
  <c r="K103" i="3"/>
  <c r="I103" i="3"/>
  <c r="P102" i="3"/>
  <c r="K102" i="3"/>
  <c r="I102" i="3"/>
  <c r="P101" i="3"/>
  <c r="K101" i="3"/>
  <c r="I101" i="3"/>
  <c r="P100" i="3"/>
  <c r="K100" i="3"/>
  <c r="I100" i="3"/>
  <c r="P99" i="3"/>
  <c r="K99" i="3"/>
  <c r="I99" i="3"/>
  <c r="P98" i="3"/>
  <c r="K98" i="3"/>
  <c r="I98" i="3"/>
  <c r="P97" i="3"/>
  <c r="K97" i="3"/>
  <c r="I97" i="3"/>
  <c r="P96" i="3"/>
  <c r="K96" i="3"/>
  <c r="I96" i="3"/>
  <c r="P95" i="3"/>
  <c r="K95" i="3"/>
  <c r="I95" i="3"/>
  <c r="P94" i="3"/>
  <c r="K94" i="3"/>
  <c r="I94" i="3"/>
  <c r="P93" i="3"/>
  <c r="K93" i="3"/>
  <c r="I93" i="3"/>
  <c r="P92" i="3"/>
  <c r="K92" i="3"/>
  <c r="I92" i="3"/>
  <c r="P91" i="3"/>
  <c r="K91" i="3"/>
  <c r="I91" i="3"/>
  <c r="P90" i="3"/>
  <c r="K90" i="3"/>
  <c r="I90" i="3"/>
  <c r="P89" i="3"/>
  <c r="K89" i="3"/>
  <c r="I89" i="3"/>
  <c r="P88" i="3"/>
  <c r="K88" i="3"/>
  <c r="I88" i="3"/>
  <c r="P87" i="3"/>
  <c r="K87" i="3"/>
  <c r="I87" i="3"/>
  <c r="P86" i="3"/>
  <c r="K86" i="3"/>
  <c r="I86" i="3"/>
  <c r="P85" i="3"/>
  <c r="K85" i="3"/>
  <c r="I85" i="3"/>
  <c r="P84" i="3"/>
  <c r="K84" i="3"/>
  <c r="I84" i="3"/>
  <c r="P83" i="3"/>
  <c r="K83" i="3"/>
  <c r="I83" i="3"/>
  <c r="P82" i="3"/>
  <c r="K82" i="3"/>
  <c r="I82" i="3"/>
  <c r="P81" i="3"/>
  <c r="K81" i="3"/>
  <c r="I81" i="3"/>
  <c r="P80" i="3"/>
  <c r="K80" i="3"/>
  <c r="I80" i="3"/>
  <c r="P79" i="3"/>
  <c r="K79" i="3"/>
  <c r="I79" i="3"/>
  <c r="P78" i="3"/>
  <c r="K78" i="3"/>
  <c r="I78" i="3"/>
  <c r="P77" i="3"/>
  <c r="K77" i="3"/>
  <c r="I77" i="3"/>
  <c r="P76" i="3"/>
  <c r="K76" i="3"/>
  <c r="I76" i="3"/>
  <c r="P75" i="3"/>
  <c r="K75" i="3"/>
  <c r="I75" i="3"/>
  <c r="P74" i="3"/>
  <c r="K74" i="3"/>
  <c r="I74" i="3"/>
  <c r="P73" i="3"/>
  <c r="K73" i="3"/>
  <c r="I73" i="3"/>
  <c r="P72" i="3"/>
  <c r="K72" i="3"/>
  <c r="I72" i="3"/>
  <c r="P71" i="3"/>
  <c r="K71" i="3"/>
  <c r="I71" i="3"/>
  <c r="P70" i="3"/>
  <c r="K70" i="3"/>
  <c r="I70" i="3"/>
  <c r="P69" i="3"/>
  <c r="K69" i="3"/>
  <c r="I69" i="3"/>
  <c r="P68" i="3"/>
  <c r="K68" i="3"/>
  <c r="I68" i="3"/>
  <c r="P67" i="3"/>
  <c r="K67" i="3"/>
  <c r="I67" i="3"/>
  <c r="P66" i="3"/>
  <c r="K66" i="3"/>
  <c r="I66" i="3"/>
  <c r="P65" i="3"/>
  <c r="K65" i="3"/>
  <c r="I65" i="3"/>
  <c r="P64" i="3"/>
  <c r="K64" i="3"/>
  <c r="I64" i="3"/>
  <c r="P63" i="3"/>
  <c r="K63" i="3"/>
  <c r="I63" i="3"/>
  <c r="P62" i="3"/>
  <c r="K62" i="3"/>
  <c r="I62" i="3"/>
  <c r="P61" i="3"/>
  <c r="K61" i="3"/>
  <c r="I61" i="3"/>
  <c r="P60" i="3"/>
  <c r="K60" i="3"/>
  <c r="I60" i="3"/>
  <c r="P59" i="3"/>
  <c r="K59" i="3"/>
  <c r="I59" i="3"/>
  <c r="P58" i="3"/>
  <c r="K58" i="3"/>
  <c r="I58" i="3"/>
  <c r="P57" i="3"/>
  <c r="K57" i="3"/>
  <c r="I57" i="3"/>
  <c r="P56" i="3"/>
  <c r="K56" i="3"/>
  <c r="I56" i="3"/>
  <c r="P55" i="3"/>
  <c r="K55" i="3"/>
  <c r="I55" i="3"/>
  <c r="P54" i="3"/>
  <c r="K54" i="3"/>
  <c r="I54" i="3"/>
  <c r="P53" i="3"/>
  <c r="K53" i="3"/>
  <c r="I53" i="3"/>
  <c r="P52" i="3"/>
  <c r="K52" i="3"/>
  <c r="I52" i="3"/>
  <c r="P51" i="3"/>
  <c r="K51" i="3"/>
  <c r="I51" i="3"/>
  <c r="P50" i="3"/>
  <c r="K50" i="3"/>
  <c r="I50" i="3"/>
  <c r="P49" i="3"/>
  <c r="K49" i="3"/>
  <c r="I49" i="3"/>
  <c r="P48" i="3"/>
  <c r="K48" i="3"/>
  <c r="I48" i="3"/>
  <c r="P47" i="3"/>
  <c r="K47" i="3"/>
  <c r="I47" i="3"/>
  <c r="P46" i="3"/>
  <c r="K46" i="3"/>
  <c r="I46" i="3"/>
  <c r="P45" i="3"/>
  <c r="K45" i="3"/>
  <c r="I45" i="3"/>
  <c r="P44" i="3"/>
  <c r="K44" i="3"/>
  <c r="I44" i="3"/>
  <c r="P43" i="3"/>
  <c r="K43" i="3"/>
  <c r="I43" i="3"/>
  <c r="P42" i="3"/>
  <c r="K42" i="3"/>
  <c r="I42" i="3"/>
  <c r="P41" i="3"/>
  <c r="K41" i="3"/>
  <c r="I41" i="3"/>
  <c r="P40" i="3"/>
  <c r="K40" i="3"/>
  <c r="I40" i="3"/>
  <c r="P39" i="3"/>
  <c r="K39" i="3"/>
  <c r="I39" i="3"/>
  <c r="P38" i="3"/>
  <c r="K38" i="3"/>
  <c r="I38" i="3"/>
  <c r="P37" i="3"/>
  <c r="K37" i="3"/>
  <c r="I37" i="3"/>
  <c r="P36" i="3"/>
  <c r="K36" i="3"/>
  <c r="I36" i="3"/>
  <c r="P35" i="3"/>
  <c r="K35" i="3"/>
  <c r="I35" i="3"/>
  <c r="P34" i="3"/>
  <c r="K34" i="3"/>
  <c r="I34" i="3"/>
  <c r="P33" i="3"/>
  <c r="K33" i="3"/>
  <c r="I33" i="3"/>
  <c r="P32" i="3"/>
  <c r="K32" i="3"/>
  <c r="I32" i="3"/>
  <c r="P31" i="3"/>
  <c r="K31" i="3"/>
  <c r="I31" i="3"/>
  <c r="P30" i="3"/>
  <c r="K30" i="3"/>
  <c r="I30" i="3"/>
  <c r="P29" i="3"/>
  <c r="K29" i="3"/>
  <c r="I29" i="3"/>
  <c r="P28" i="3"/>
  <c r="K28" i="3"/>
  <c r="I28" i="3"/>
  <c r="P27" i="3"/>
  <c r="K27" i="3"/>
  <c r="I27" i="3"/>
  <c r="P26" i="3"/>
  <c r="K26" i="3"/>
  <c r="I26" i="3"/>
  <c r="P25" i="3"/>
  <c r="K25" i="3"/>
  <c r="I25" i="3"/>
  <c r="P24" i="3"/>
  <c r="K24" i="3"/>
  <c r="I24" i="3"/>
  <c r="P23" i="3"/>
  <c r="K23" i="3"/>
  <c r="I23" i="3"/>
  <c r="P22" i="3"/>
  <c r="K22" i="3"/>
  <c r="I22" i="3"/>
  <c r="P21" i="3"/>
  <c r="K21" i="3"/>
  <c r="I21" i="3"/>
  <c r="P20" i="3"/>
  <c r="K20" i="3"/>
  <c r="I20" i="3"/>
  <c r="P19" i="3"/>
  <c r="K19" i="3"/>
  <c r="I19" i="3"/>
  <c r="P18" i="3"/>
  <c r="K18" i="3"/>
  <c r="I18" i="3"/>
  <c r="P17" i="3"/>
  <c r="K17" i="3"/>
  <c r="I17" i="3"/>
  <c r="P16" i="3"/>
  <c r="K16" i="3"/>
  <c r="I16" i="3"/>
  <c r="P15" i="3"/>
  <c r="K15" i="3"/>
  <c r="I15" i="3"/>
  <c r="P14" i="3"/>
  <c r="K14" i="3"/>
  <c r="I14" i="3"/>
  <c r="P13" i="3"/>
  <c r="K13" i="3"/>
  <c r="I13" i="3"/>
  <c r="P12" i="3"/>
  <c r="K12" i="3"/>
  <c r="I12" i="3"/>
  <c r="P11" i="3"/>
  <c r="K11" i="3"/>
  <c r="I11" i="3"/>
  <c r="P10" i="3"/>
  <c r="K10" i="3"/>
  <c r="I10" i="3"/>
  <c r="P9" i="3"/>
  <c r="K9" i="3"/>
  <c r="I9" i="3"/>
  <c r="P8" i="3"/>
  <c r="K8" i="3"/>
  <c r="I8" i="3"/>
  <c r="P7" i="3"/>
  <c r="K7" i="3"/>
  <c r="I7" i="3"/>
  <c r="P6" i="3"/>
  <c r="K6" i="3"/>
  <c r="I6" i="3"/>
  <c r="P5" i="3"/>
  <c r="K5" i="3"/>
  <c r="I5" i="3"/>
  <c r="P4" i="3"/>
  <c r="K4" i="3"/>
  <c r="I4" i="3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M18" i="1"/>
  <c r="L18" i="1"/>
  <c r="K18" i="1"/>
  <c r="G18" i="1"/>
  <c r="F18" i="1"/>
  <c r="J17" i="1"/>
  <c r="H17" i="1"/>
  <c r="I17" i="1" s="1"/>
  <c r="J16" i="1"/>
  <c r="H16" i="1"/>
  <c r="I16" i="1" s="1"/>
  <c r="J15" i="1"/>
  <c r="H15" i="1"/>
  <c r="I15" i="1" s="1"/>
  <c r="J14" i="1"/>
  <c r="H14" i="1"/>
  <c r="I14" i="1" s="1"/>
  <c r="J13" i="1"/>
  <c r="H13" i="1"/>
  <c r="I13" i="1" s="1"/>
  <c r="J12" i="1"/>
  <c r="H12" i="1"/>
  <c r="I12" i="1" s="1"/>
  <c r="J11" i="1"/>
  <c r="H11" i="1"/>
  <c r="I11" i="1" s="1"/>
  <c r="J10" i="1"/>
  <c r="H10" i="1"/>
  <c r="I10" i="1" s="1"/>
  <c r="J9" i="1"/>
  <c r="H9" i="1"/>
  <c r="I9" i="1" s="1"/>
  <c r="J8" i="1"/>
  <c r="H8" i="1"/>
  <c r="I8" i="1" s="1"/>
  <c r="J7" i="1"/>
  <c r="H7" i="1"/>
  <c r="I7" i="1" s="1"/>
  <c r="J6" i="1"/>
  <c r="H6" i="1"/>
  <c r="I6" i="1" s="1"/>
  <c r="J5" i="1"/>
  <c r="H5" i="1"/>
  <c r="I5" i="1" s="1"/>
  <c r="J4" i="1"/>
  <c r="J18" i="1" s="1"/>
  <c r="H4" i="1"/>
  <c r="H18" i="1" l="1"/>
  <c r="I18" i="1" s="1"/>
  <c r="I4" i="1"/>
  <c r="M4" i="2"/>
  <c r="L4" i="2"/>
  <c r="M5" i="2"/>
  <c r="L5" i="2"/>
  <c r="M6" i="2"/>
  <c r="L6" i="2"/>
  <c r="M7" i="2"/>
  <c r="L7" i="2"/>
  <c r="M8" i="2"/>
  <c r="L8" i="2"/>
  <c r="M9" i="2"/>
  <c r="L9" i="2"/>
  <c r="M10" i="2"/>
  <c r="L10" i="2"/>
  <c r="M11" i="2"/>
  <c r="L11" i="2"/>
  <c r="M12" i="2"/>
  <c r="L12" i="2"/>
  <c r="M13" i="2"/>
  <c r="L13" i="2"/>
  <c r="M14" i="2"/>
  <c r="L14" i="2"/>
  <c r="M15" i="2"/>
  <c r="L15" i="2"/>
  <c r="M16" i="2"/>
  <c r="L16" i="2"/>
  <c r="M17" i="2"/>
  <c r="L17" i="2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102" i="3"/>
  <c r="M102" i="3" s="1"/>
  <c r="L103" i="3"/>
  <c r="M103" i="3" s="1"/>
</calcChain>
</file>

<file path=xl/sharedStrings.xml><?xml version="1.0" encoding="utf-8"?>
<sst xmlns="http://schemas.openxmlformats.org/spreadsheetml/2006/main" count="219" uniqueCount="84">
  <si>
    <t>증권사별 주식 포트폴리오 현황</t>
  </si>
  <si>
    <t>증권사</t>
  </si>
  <si>
    <t>시장</t>
  </si>
  <si>
    <t>계좌구분</t>
  </si>
  <si>
    <t>계좌별칭</t>
  </si>
  <si>
    <t>통화</t>
  </si>
  <si>
    <t>투자원금</t>
  </si>
  <si>
    <t>현재평가금</t>
  </si>
  <si>
    <t>평가손익</t>
  </si>
  <si>
    <t>누적수익률</t>
  </si>
  <si>
    <t>현재비중</t>
  </si>
  <si>
    <t>월 입금</t>
  </si>
  <si>
    <t>월 출금</t>
  </si>
  <si>
    <t>배당금</t>
  </si>
  <si>
    <t>비고</t>
  </si>
  <si>
    <t>미래에셋</t>
  </si>
  <si>
    <t>국내</t>
  </si>
  <si>
    <t>일반 주식계좌</t>
  </si>
  <si>
    <t>미래에셋-국내</t>
  </si>
  <si>
    <t>KRW</t>
  </si>
  <si>
    <t>해외</t>
  </si>
  <si>
    <t>미래에셋-해외</t>
  </si>
  <si>
    <t>USD</t>
  </si>
  <si>
    <t>KB</t>
  </si>
  <si>
    <t>KB-국내</t>
  </si>
  <si>
    <t>KB-해외</t>
  </si>
  <si>
    <t>삼성</t>
  </si>
  <si>
    <t>삼성-국내</t>
  </si>
  <si>
    <t>삼성-해외</t>
  </si>
  <si>
    <t>NH</t>
  </si>
  <si>
    <t>NH-국내</t>
  </si>
  <si>
    <t>NH-해외</t>
  </si>
  <si>
    <t>키움</t>
  </si>
  <si>
    <t>키움-국내</t>
  </si>
  <si>
    <t>키움-해외</t>
  </si>
  <si>
    <t>대신</t>
  </si>
  <si>
    <t>대신-국내</t>
  </si>
  <si>
    <t>대신-해외</t>
  </si>
  <si>
    <t>SK</t>
  </si>
  <si>
    <t>SK-국내</t>
  </si>
  <si>
    <t>SK-해외</t>
  </si>
  <si>
    <t>합계</t>
  </si>
  <si>
    <t>월별 계좌 성과 입력 및 비교 (2026년 10월 시작)</t>
  </si>
  <si>
    <t>기준월</t>
  </si>
  <si>
    <t>월초평가금</t>
  </si>
  <si>
    <t>입금</t>
  </si>
  <si>
    <t>출금</t>
  </si>
  <si>
    <t>월말평가금</t>
  </si>
  <si>
    <t>월수익금</t>
  </si>
  <si>
    <t>월수익률</t>
  </si>
  <si>
    <t>전월대비 증감</t>
  </si>
  <si>
    <t>메모</t>
  </si>
  <si>
    <t>샘플 데이터</t>
  </si>
  <si>
    <t>세부 종목 보유현황</t>
  </si>
  <si>
    <t>종목코드</t>
  </si>
  <si>
    <t>종목명</t>
  </si>
  <si>
    <t>수량</t>
  </si>
  <si>
    <t>평균매입가</t>
  </si>
  <si>
    <t>현재가</t>
  </si>
  <si>
    <t>평가금</t>
  </si>
  <si>
    <t>수익률</t>
  </si>
  <si>
    <t>월초가</t>
  </si>
  <si>
    <t>월말가</t>
  </si>
  <si>
    <t>월 주가수익률</t>
  </si>
  <si>
    <t>005930</t>
  </si>
  <si>
    <t>삼성전자</t>
  </si>
  <si>
    <t>000660</t>
  </si>
  <si>
    <t>SK하이닉스</t>
  </si>
  <si>
    <t>시장구분</t>
  </si>
  <si>
    <t>사용 안내</t>
  </si>
  <si>
    <t>2026-10부터 월말 기준 입력</t>
  </si>
  <si>
    <t>ISA</t>
  </si>
  <si>
    <t>입출금은 투자성과와 분리</t>
  </si>
  <si>
    <t>연금저축</t>
  </si>
  <si>
    <t>JPY</t>
  </si>
  <si>
    <t>해외계좌는 원화 환산 평가금 기준</t>
  </si>
  <si>
    <t>IRP</t>
  </si>
  <si>
    <t>EUR</t>
  </si>
  <si>
    <t>파란 글씨/연두색 셀은 입력 영역</t>
  </si>
  <si>
    <t>CMA</t>
  </si>
  <si>
    <t>CNY</t>
  </si>
  <si>
    <t>※ 2026-10 수치는 사용 예시용 임의 샘플</t>
  </si>
  <si>
    <t>위탁계좌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</si>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</sst>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[Red]\(#,##0\);\-"/>
    <numFmt numFmtId="177" formatCode="0.0%;[Red]\(0.0%\);\-"/>
    <numFmt numFmtId="178" formatCode="yyyy\-mm"/>
    <numFmt numFmtId="179" formatCode="#,##0.00;[Red]\(#,##0.00\);\-"/>
  </numFmts>
  <fonts count="5">
    <font>
      <sz val="11"/>
      <name val="Carlito"/>
    </font>
    <font>
      <b/>
      <sz val="11"/>
      <color rgb="FFFFFFFF"/>
      <name val="Carlito"/>
    </font>
    <font>
      <b/>
      <sz val="20"/>
      <color rgb="FF7030A0"/>
      <name val="Carlito"/>
    </font>
    <font>
      <b/>
      <sz val="19"/>
      <color rgb="FF7030A0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F3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0" fillId="3" borderId="0" xfId="1" applyFont="1" applyFill="1"/>
    <xf numFmtId="176" fontId="0" fillId="0" borderId="0" xfId="1" applyNumberFormat="1" applyFont="1"/>
    <xf numFmtId="176" fontId="0" fillId="3" borderId="0" xfId="1" applyNumberFormat="1" applyFont="1" applyFill="1"/>
    <xf numFmtId="177" fontId="0" fillId="0" borderId="0" xfId="1" applyNumberFormat="1" applyFont="1"/>
    <xf numFmtId="177" fontId="0" fillId="3" borderId="0" xfId="1" applyNumberFormat="1" applyFont="1" applyFill="1"/>
    <xf numFmtId="178" fontId="0" fillId="0" borderId="0" xfId="1" applyNumberFormat="1" applyFont="1"/>
    <xf numFmtId="176" fontId="0" fillId="4" borderId="0" xfId="1" applyNumberFormat="1" applyFont="1" applyFill="1"/>
    <xf numFmtId="179" fontId="0" fillId="0" borderId="0" xfId="1" applyNumberFormat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Normal="100" zoomScaleSheetLayoutView="100" workbookViewId="0"/>
  </sheetViews>
  <sheetFormatPr defaultRowHeight="15"/>
  <cols>
    <col min="1" max="1" width="12" customWidth="1"/>
    <col min="2" max="2" width="9" customWidth="1"/>
    <col min="3" max="3" width="16" customWidth="1"/>
    <col min="4" max="4" width="17" customWidth="1"/>
    <col min="5" max="5" width="9" customWidth="1"/>
    <col min="6" max="8" width="13" customWidth="1"/>
    <col min="9" max="10" width="11" customWidth="1"/>
    <col min="11" max="12" width="12" customWidth="1"/>
    <col min="13" max="13" width="11" customWidth="1"/>
    <col min="14" max="14" width="18" customWidth="1"/>
  </cols>
  <sheetData>
    <row r="1" spans="1:14" ht="33.950000000000003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s="4"/>
      <c r="G4" s="4"/>
      <c r="H4" s="4">
        <f>IFERROR(G4-F4,0)</f>
        <v>0</v>
      </c>
      <c r="I4" s="6">
        <f>IFERROR(H4/F4,0)</f>
        <v>0</v>
      </c>
      <c r="J4" s="6">
        <f>IFERROR(G4/SUM($G$4:$G$17),0)</f>
        <v>0</v>
      </c>
      <c r="K4" s="4"/>
      <c r="L4" s="4"/>
      <c r="M4" s="4"/>
    </row>
    <row r="5" spans="1:14">
      <c r="A5" t="s">
        <v>15</v>
      </c>
      <c r="B5" t="s">
        <v>20</v>
      </c>
      <c r="C5" t="s">
        <v>17</v>
      </c>
      <c r="D5" t="s">
        <v>21</v>
      </c>
      <c r="E5" t="s">
        <v>22</v>
      </c>
      <c r="F5" s="4"/>
      <c r="G5" s="4"/>
      <c r="H5" s="4">
        <f>IFERROR(G5-F5,0)</f>
        <v>0</v>
      </c>
      <c r="I5" s="6">
        <f>IFERROR(H5/F5,0)</f>
        <v>0</v>
      </c>
      <c r="J5" s="6">
        <f>IFERROR(G5/SUM($G$4:$G$17),0)</f>
        <v>0</v>
      </c>
      <c r="K5" s="4"/>
      <c r="L5" s="4"/>
      <c r="M5" s="4"/>
    </row>
    <row r="6" spans="1:14">
      <c r="A6" t="s">
        <v>23</v>
      </c>
      <c r="B6" t="s">
        <v>16</v>
      </c>
      <c r="C6" t="s">
        <v>17</v>
      </c>
      <c r="D6" t="s">
        <v>24</v>
      </c>
      <c r="E6" t="s">
        <v>19</v>
      </c>
      <c r="F6" s="4"/>
      <c r="G6" s="4"/>
      <c r="H6" s="4">
        <f>IFERROR(G6-F6,0)</f>
        <v>0</v>
      </c>
      <c r="I6" s="6">
        <f>IFERROR(H6/F6,0)</f>
        <v>0</v>
      </c>
      <c r="J6" s="6">
        <f>IFERROR(G6/SUM($G$4:$G$17),0)</f>
        <v>0</v>
      </c>
      <c r="K6" s="4"/>
      <c r="L6" s="4"/>
      <c r="M6" s="4"/>
    </row>
    <row r="7" spans="1:14">
      <c r="A7" t="s">
        <v>23</v>
      </c>
      <c r="B7" t="s">
        <v>20</v>
      </c>
      <c r="C7" t="s">
        <v>17</v>
      </c>
      <c r="D7" t="s">
        <v>25</v>
      </c>
      <c r="E7" t="s">
        <v>22</v>
      </c>
      <c r="F7" s="4"/>
      <c r="G7" s="4"/>
      <c r="H7" s="4">
        <f>IFERROR(G7-F7,0)</f>
        <v>0</v>
      </c>
      <c r="I7" s="6">
        <f>IFERROR(H7/F7,0)</f>
        <v>0</v>
      </c>
      <c r="J7" s="6">
        <f>IFERROR(G7/SUM($G$4:$G$17),0)</f>
        <v>0</v>
      </c>
      <c r="K7" s="4"/>
      <c r="L7" s="4"/>
      <c r="M7" s="4"/>
    </row>
    <row r="8" spans="1:14">
      <c r="A8" t="s">
        <v>26</v>
      </c>
      <c r="B8" t="s">
        <v>16</v>
      </c>
      <c r="C8" t="s">
        <v>17</v>
      </c>
      <c r="D8" t="s">
        <v>27</v>
      </c>
      <c r="E8" t="s">
        <v>19</v>
      </c>
      <c r="F8" s="4"/>
      <c r="G8" s="4"/>
      <c r="H8" s="4">
        <f>IFERROR(G8-F8,0)</f>
        <v>0</v>
      </c>
      <c r="I8" s="6">
        <f>IFERROR(H8/F8,0)</f>
        <v>0</v>
      </c>
      <c r="J8" s="6">
        <f>IFERROR(G8/SUM($G$4:$G$17),0)</f>
        <v>0</v>
      </c>
      <c r="K8" s="4"/>
      <c r="L8" s="4"/>
      <c r="M8" s="4"/>
    </row>
    <row r="9" spans="1:14">
      <c r="A9" t="s">
        <v>26</v>
      </c>
      <c r="B9" t="s">
        <v>20</v>
      </c>
      <c r="C9" t="s">
        <v>17</v>
      </c>
      <c r="D9" t="s">
        <v>28</v>
      </c>
      <c r="E9" t="s">
        <v>22</v>
      </c>
      <c r="F9" s="4"/>
      <c r="G9" s="4"/>
      <c r="H9" s="4">
        <f>IFERROR(G9-F9,0)</f>
        <v>0</v>
      </c>
      <c r="I9" s="6">
        <f>IFERROR(H9/F9,0)</f>
        <v>0</v>
      </c>
      <c r="J9" s="6">
        <f>IFERROR(G9/SUM($G$4:$G$17),0)</f>
        <v>0</v>
      </c>
      <c r="K9" s="4"/>
      <c r="L9" s="4"/>
      <c r="M9" s="4"/>
    </row>
    <row r="10" spans="1:14">
      <c r="A10" t="s">
        <v>29</v>
      </c>
      <c r="B10" t="s">
        <v>16</v>
      </c>
      <c r="C10" t="s">
        <v>17</v>
      </c>
      <c r="D10" t="s">
        <v>30</v>
      </c>
      <c r="E10" t="s">
        <v>19</v>
      </c>
      <c r="F10" s="4"/>
      <c r="G10" s="4"/>
      <c r="H10" s="4">
        <f>IFERROR(G10-F10,0)</f>
        <v>0</v>
      </c>
      <c r="I10" s="6">
        <f>IFERROR(H10/F10,0)</f>
        <v>0</v>
      </c>
      <c r="J10" s="6">
        <f>IFERROR(G10/SUM($G$4:$G$17),0)</f>
        <v>0</v>
      </c>
      <c r="K10" s="4"/>
      <c r="L10" s="4"/>
      <c r="M10" s="4"/>
    </row>
    <row r="11" spans="1:14">
      <c r="A11" t="s">
        <v>29</v>
      </c>
      <c r="B11" t="s">
        <v>20</v>
      </c>
      <c r="C11" t="s">
        <v>17</v>
      </c>
      <c r="D11" t="s">
        <v>31</v>
      </c>
      <c r="E11" t="s">
        <v>22</v>
      </c>
      <c r="F11" s="4"/>
      <c r="G11" s="4"/>
      <c r="H11" s="4">
        <f>IFERROR(G11-F11,0)</f>
        <v>0</v>
      </c>
      <c r="I11" s="6">
        <f>IFERROR(H11/F11,0)</f>
        <v>0</v>
      </c>
      <c r="J11" s="6">
        <f>IFERROR(G11/SUM($G$4:$G$17),0)</f>
        <v>0</v>
      </c>
      <c r="K11" s="4"/>
      <c r="L11" s="4"/>
      <c r="M11" s="4"/>
    </row>
    <row r="12" spans="1:14">
      <c r="A12" t="s">
        <v>32</v>
      </c>
      <c r="B12" t="s">
        <v>16</v>
      </c>
      <c r="C12" t="s">
        <v>17</v>
      </c>
      <c r="D12" t="s">
        <v>33</v>
      </c>
      <c r="E12" t="s">
        <v>19</v>
      </c>
      <c r="F12" s="4"/>
      <c r="G12" s="4"/>
      <c r="H12" s="4">
        <f>IFERROR(G12-F12,0)</f>
        <v>0</v>
      </c>
      <c r="I12" s="6">
        <f>IFERROR(H12/F12,0)</f>
        <v>0</v>
      </c>
      <c r="J12" s="6">
        <f>IFERROR(G12/SUM($G$4:$G$17),0)</f>
        <v>0</v>
      </c>
      <c r="K12" s="4"/>
      <c r="L12" s="4"/>
      <c r="M12" s="4"/>
    </row>
    <row r="13" spans="1:14">
      <c r="A13" t="s">
        <v>32</v>
      </c>
      <c r="B13" t="s">
        <v>20</v>
      </c>
      <c r="C13" t="s">
        <v>17</v>
      </c>
      <c r="D13" t="s">
        <v>34</v>
      </c>
      <c r="E13" t="s">
        <v>22</v>
      </c>
      <c r="F13" s="4"/>
      <c r="G13" s="4"/>
      <c r="H13" s="4">
        <f>IFERROR(G13-F13,0)</f>
        <v>0</v>
      </c>
      <c r="I13" s="6">
        <f>IFERROR(H13/F13,0)</f>
        <v>0</v>
      </c>
      <c r="J13" s="6">
        <f>IFERROR(G13/SUM($G$4:$G$17),0)</f>
        <v>0</v>
      </c>
      <c r="K13" s="4"/>
      <c r="L13" s="4"/>
      <c r="M13" s="4"/>
    </row>
    <row r="14" spans="1:14">
      <c r="A14" t="s">
        <v>35</v>
      </c>
      <c r="B14" t="s">
        <v>16</v>
      </c>
      <c r="C14" t="s">
        <v>17</v>
      </c>
      <c r="D14" t="s">
        <v>36</v>
      </c>
      <c r="E14" t="s">
        <v>19</v>
      </c>
      <c r="F14" s="4"/>
      <c r="G14" s="4"/>
      <c r="H14" s="4">
        <f>IFERROR(G14-F14,0)</f>
        <v>0</v>
      </c>
      <c r="I14" s="6">
        <f>IFERROR(H14/F14,0)</f>
        <v>0</v>
      </c>
      <c r="J14" s="6">
        <f>IFERROR(G14/SUM($G$4:$G$17),0)</f>
        <v>0</v>
      </c>
      <c r="K14" s="4"/>
      <c r="L14" s="4"/>
      <c r="M14" s="4"/>
    </row>
    <row r="15" spans="1:14">
      <c r="A15" t="s">
        <v>35</v>
      </c>
      <c r="B15" t="s">
        <v>20</v>
      </c>
      <c r="C15" t="s">
        <v>17</v>
      </c>
      <c r="D15" t="s">
        <v>37</v>
      </c>
      <c r="E15" t="s">
        <v>22</v>
      </c>
      <c r="F15" s="4"/>
      <c r="G15" s="4"/>
      <c r="H15" s="4">
        <f>IFERROR(G15-F15,0)</f>
        <v>0</v>
      </c>
      <c r="I15" s="6">
        <f>IFERROR(H15/F15,0)</f>
        <v>0</v>
      </c>
      <c r="J15" s="6">
        <f>IFERROR(G15/SUM($G$4:$G$17),0)</f>
        <v>0</v>
      </c>
      <c r="K15" s="4"/>
      <c r="L15" s="4"/>
      <c r="M15" s="4"/>
    </row>
    <row r="16" spans="1:14">
      <c r="A16" t="s">
        <v>38</v>
      </c>
      <c r="B16" t="s">
        <v>16</v>
      </c>
      <c r="C16" t="s">
        <v>17</v>
      </c>
      <c r="D16" t="s">
        <v>39</v>
      </c>
      <c r="E16" t="s">
        <v>19</v>
      </c>
      <c r="F16" s="4"/>
      <c r="G16" s="4"/>
      <c r="H16" s="4">
        <f>IFERROR(G16-F16,0)</f>
        <v>0</v>
      </c>
      <c r="I16" s="6">
        <f>IFERROR(H16/F16,0)</f>
        <v>0</v>
      </c>
      <c r="J16" s="6">
        <f>IFERROR(G16/SUM($G$4:$G$17),0)</f>
        <v>0</v>
      </c>
      <c r="K16" s="4"/>
      <c r="L16" s="4"/>
      <c r="M16" s="4"/>
    </row>
    <row r="17" spans="1:14">
      <c r="A17" t="s">
        <v>38</v>
      </c>
      <c r="B17" t="s">
        <v>20</v>
      </c>
      <c r="C17" t="s">
        <v>17</v>
      </c>
      <c r="D17" t="s">
        <v>40</v>
      </c>
      <c r="E17" t="s">
        <v>22</v>
      </c>
      <c r="F17" s="4"/>
      <c r="G17" s="4"/>
      <c r="H17" s="4">
        <f>IFERROR(G17-F17,0)</f>
        <v>0</v>
      </c>
      <c r="I17" s="6">
        <f>IFERROR(H17/F17,0)</f>
        <v>0</v>
      </c>
      <c r="J17" s="6">
        <f>IFERROR(G17/SUM($G$4:$G$17),0)</f>
        <v>0</v>
      </c>
      <c r="K17" s="4"/>
      <c r="L17" s="4"/>
      <c r="M17" s="4"/>
    </row>
    <row r="18" spans="1:14">
      <c r="A18" s="3" t="s">
        <v>41</v>
      </c>
      <c r="B18" s="3"/>
      <c r="C18" s="3"/>
      <c r="D18" s="3"/>
      <c r="E18" s="3"/>
      <c r="F18" s="5">
        <f>SUM(F4:F17)</f>
        <v>0</v>
      </c>
      <c r="G18" s="5">
        <f>SUM(G4:G17)</f>
        <v>0</v>
      </c>
      <c r="H18" s="5">
        <f>SUM(H4:H17)</f>
        <v>0</v>
      </c>
      <c r="I18" s="7">
        <f>IFERROR(H18/F18,0)</f>
        <v>0</v>
      </c>
      <c r="J18" s="7">
        <f>SUM(J4:J17)</f>
        <v>0</v>
      </c>
      <c r="K18" s="5">
        <f>SUM(K4:K17)</f>
        <v>0</v>
      </c>
      <c r="L18" s="5">
        <f>SUM(L4:L17)</f>
        <v>0</v>
      </c>
      <c r="M18" s="5">
        <f>SUM(M4:M17)</f>
        <v>0</v>
      </c>
      <c r="N18" s="3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zoomScaleNormal="100" zoomScaleSheetLayoutView="100" workbookViewId="0"/>
  </sheetViews>
  <sheetFormatPr defaultRowHeight="15"/>
  <cols>
    <col min="1" max="1" width="11" customWidth="1"/>
    <col min="2" max="2" width="12" customWidth="1"/>
    <col min="3" max="3" width="9" customWidth="1"/>
    <col min="4" max="4" width="17" customWidth="1"/>
    <col min="5" max="5" width="14" customWidth="1"/>
    <col min="6" max="8" width="11" customWidth="1"/>
    <col min="9" max="9" width="14" customWidth="1"/>
    <col min="10" max="10" width="13" customWidth="1"/>
    <col min="11" max="11" width="11" customWidth="1"/>
    <col min="12" max="12" width="13" customWidth="1"/>
    <col min="13" max="13" width="11" customWidth="1"/>
    <col min="14" max="14" width="18" customWidth="1"/>
  </cols>
  <sheetData>
    <row r="1" spans="1:14" ht="32.1" customHeight="1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>
      <c r="A3" s="2" t="s">
        <v>43</v>
      </c>
      <c r="B3" s="2" t="s">
        <v>1</v>
      </c>
      <c r="C3" s="2" t="s">
        <v>2</v>
      </c>
      <c r="D3" s="2" t="s">
        <v>4</v>
      </c>
      <c r="E3" s="2" t="s">
        <v>44</v>
      </c>
      <c r="F3" s="2" t="s">
        <v>45</v>
      </c>
      <c r="G3" s="2" t="s">
        <v>46</v>
      </c>
      <c r="H3" s="2" t="s">
        <v>13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9</v>
      </c>
      <c r="N3" s="2" t="s">
        <v>51</v>
      </c>
    </row>
    <row r="4" spans="1:14">
      <c r="A4" s="8">
        <v>46296</v>
      </c>
      <c r="B4" t="s">
        <v>15</v>
      </c>
      <c r="C4" t="s">
        <v>16</v>
      </c>
      <c r="D4" t="s">
        <v>18</v>
      </c>
      <c r="E4" s="9">
        <v>12000000</v>
      </c>
      <c r="F4" s="9">
        <v>1000000</v>
      </c>
      <c r="G4" s="9">
        <v>0</v>
      </c>
      <c r="H4" s="9">
        <v>0</v>
      </c>
      <c r="I4" s="9">
        <v>13420000</v>
      </c>
      <c r="J4" s="4">
        <f>I4-E4-F4+G4+H4</f>
        <v>420000</v>
      </c>
      <c r="K4" s="6">
        <f>IFERROR(J4/(E4+F4),0)</f>
        <v>3.2307692307692308E-2</v>
      </c>
      <c r="L4" s="6">
        <f>K4</f>
        <v>3.2307692307692308E-2</v>
      </c>
      <c r="M4" s="6">
        <f>K4</f>
        <v>3.2307692307692308E-2</v>
      </c>
      <c r="N4" t="s">
        <v>52</v>
      </c>
    </row>
    <row r="5" spans="1:14">
      <c r="A5" s="8">
        <v>46296</v>
      </c>
      <c r="B5" t="s">
        <v>15</v>
      </c>
      <c r="C5" t="s">
        <v>20</v>
      </c>
      <c r="D5" t="s">
        <v>21</v>
      </c>
      <c r="E5" s="9">
        <v>8000000</v>
      </c>
      <c r="F5" s="9">
        <v>500000</v>
      </c>
      <c r="G5" s="9">
        <v>0</v>
      </c>
      <c r="H5" s="9">
        <v>35000</v>
      </c>
      <c r="I5" s="9">
        <v>8720000</v>
      </c>
      <c r="J5" s="4">
        <f>I5-E5-F5+G5+H5</f>
        <v>255000</v>
      </c>
      <c r="K5" s="6">
        <f>IFERROR(J5/(E5+F5),0)</f>
        <v>0.03</v>
      </c>
      <c r="L5" s="6">
        <f>K5</f>
        <v>0.03</v>
      </c>
      <c r="M5" s="6">
        <f>K5</f>
        <v>0.03</v>
      </c>
      <c r="N5" t="s">
        <v>52</v>
      </c>
    </row>
    <row r="6" spans="1:14">
      <c r="A6" s="8">
        <v>46296</v>
      </c>
      <c r="B6" t="s">
        <v>23</v>
      </c>
      <c r="C6" t="s">
        <v>16</v>
      </c>
      <c r="D6" t="s">
        <v>24</v>
      </c>
      <c r="E6" s="9">
        <v>9000000</v>
      </c>
      <c r="F6" s="9">
        <v>500000</v>
      </c>
      <c r="G6" s="9">
        <v>0</v>
      </c>
      <c r="H6" s="9">
        <v>0</v>
      </c>
      <c r="I6" s="9">
        <v>9750000</v>
      </c>
      <c r="J6" s="4">
        <f>I6-E6-F6+G6+H6</f>
        <v>250000</v>
      </c>
      <c r="K6" s="6">
        <f>IFERROR(J6/(E6+F6),0)</f>
        <v>2.6315789473684209E-2</v>
      </c>
      <c r="L6" s="6">
        <f>K6</f>
        <v>2.6315789473684209E-2</v>
      </c>
      <c r="M6" s="6">
        <f>K6</f>
        <v>2.6315789473684209E-2</v>
      </c>
      <c r="N6" t="s">
        <v>52</v>
      </c>
    </row>
    <row r="7" spans="1:14">
      <c r="A7" s="8">
        <v>46296</v>
      </c>
      <c r="B7" t="s">
        <v>23</v>
      </c>
      <c r="C7" t="s">
        <v>20</v>
      </c>
      <c r="D7" t="s">
        <v>25</v>
      </c>
      <c r="E7" s="9">
        <v>6500000</v>
      </c>
      <c r="F7" s="9">
        <v>300000</v>
      </c>
      <c r="G7" s="9">
        <v>0</v>
      </c>
      <c r="H7" s="9">
        <v>20000</v>
      </c>
      <c r="I7" s="9">
        <v>6680000</v>
      </c>
      <c r="J7" s="4">
        <f>I7-E7-F7+G7+H7</f>
        <v>-100000</v>
      </c>
      <c r="K7" s="6">
        <f>IFERROR(J7/(E7+F7),0)</f>
        <v>-1.4705882352941176E-2</v>
      </c>
      <c r="L7" s="6">
        <f>K7</f>
        <v>-1.4705882352941176E-2</v>
      </c>
      <c r="M7" s="6">
        <f>K7</f>
        <v>-1.4705882352941176E-2</v>
      </c>
      <c r="N7" t="s">
        <v>52</v>
      </c>
    </row>
    <row r="8" spans="1:14">
      <c r="A8" s="8">
        <v>46296</v>
      </c>
      <c r="B8" t="s">
        <v>26</v>
      </c>
      <c r="C8" t="s">
        <v>16</v>
      </c>
      <c r="D8" t="s">
        <v>27</v>
      </c>
      <c r="E8" s="9">
        <v>24500000</v>
      </c>
      <c r="F8" s="9">
        <v>0</v>
      </c>
      <c r="G8" s="9">
        <v>0</v>
      </c>
      <c r="H8" s="9">
        <v>120000</v>
      </c>
      <c r="I8" s="9">
        <v>26320000</v>
      </c>
      <c r="J8" s="4">
        <f>I8-E8-F8+G8+H8</f>
        <v>1940000</v>
      </c>
      <c r="K8" s="6">
        <f>IFERROR(J8/(E8+F8),0)</f>
        <v>7.9183673469387761E-2</v>
      </c>
      <c r="L8" s="6">
        <f>K8</f>
        <v>7.9183673469387761E-2</v>
      </c>
      <c r="M8" s="6">
        <f>K8</f>
        <v>7.9183673469387761E-2</v>
      </c>
      <c r="N8" t="s">
        <v>52</v>
      </c>
    </row>
    <row r="9" spans="1:14">
      <c r="A9" s="8">
        <v>46296</v>
      </c>
      <c r="B9" t="s">
        <v>26</v>
      </c>
      <c r="C9" t="s">
        <v>20</v>
      </c>
      <c r="D9" t="s">
        <v>28</v>
      </c>
      <c r="E9" s="9">
        <v>10000000</v>
      </c>
      <c r="F9" s="9">
        <v>800000</v>
      </c>
      <c r="G9" s="9">
        <v>0</v>
      </c>
      <c r="H9" s="9">
        <v>45000</v>
      </c>
      <c r="I9" s="9">
        <v>11230000</v>
      </c>
      <c r="J9" s="4">
        <f>I9-E9-F9+G9+H9</f>
        <v>475000</v>
      </c>
      <c r="K9" s="6">
        <f>IFERROR(J9/(E9+F9),0)</f>
        <v>4.3981481481481483E-2</v>
      </c>
      <c r="L9" s="6">
        <f>K9</f>
        <v>4.3981481481481483E-2</v>
      </c>
      <c r="M9" s="6">
        <f>K9</f>
        <v>4.3981481481481483E-2</v>
      </c>
      <c r="N9" t="s">
        <v>52</v>
      </c>
    </row>
    <row r="10" spans="1:14">
      <c r="A10" s="8">
        <v>46296</v>
      </c>
      <c r="B10" t="s">
        <v>29</v>
      </c>
      <c r="C10" t="s">
        <v>16</v>
      </c>
      <c r="D10" t="s">
        <v>30</v>
      </c>
      <c r="E10" s="9">
        <v>11000000</v>
      </c>
      <c r="F10" s="9">
        <v>1000000</v>
      </c>
      <c r="G10" s="9">
        <v>0</v>
      </c>
      <c r="H10" s="9">
        <v>0</v>
      </c>
      <c r="I10" s="9">
        <v>12450000</v>
      </c>
      <c r="J10" s="4">
        <f>I10-E10-F10+G10+H10</f>
        <v>450000</v>
      </c>
      <c r="K10" s="6">
        <f>IFERROR(J10/(E10+F10),0)</f>
        <v>3.7499999999999999E-2</v>
      </c>
      <c r="L10" s="6">
        <f>K10</f>
        <v>3.7499999999999999E-2</v>
      </c>
      <c r="M10" s="6">
        <f>K10</f>
        <v>3.7499999999999999E-2</v>
      </c>
      <c r="N10" t="s">
        <v>52</v>
      </c>
    </row>
    <row r="11" spans="1:14">
      <c r="A11" s="8">
        <v>46296</v>
      </c>
      <c r="B11" t="s">
        <v>29</v>
      </c>
      <c r="C11" t="s">
        <v>20</v>
      </c>
      <c r="D11" t="s">
        <v>31</v>
      </c>
      <c r="E11" s="9">
        <v>18000000</v>
      </c>
      <c r="F11" s="9">
        <v>1500000</v>
      </c>
      <c r="G11" s="9">
        <v>0</v>
      </c>
      <c r="H11" s="9">
        <v>80000</v>
      </c>
      <c r="I11" s="9">
        <v>20750000</v>
      </c>
      <c r="J11" s="4">
        <f>I11-E11-F11+G11+H11</f>
        <v>1330000</v>
      </c>
      <c r="K11" s="6">
        <f>IFERROR(J11/(E11+F11),0)</f>
        <v>6.820512820512821E-2</v>
      </c>
      <c r="L11" s="6">
        <f>K11</f>
        <v>6.820512820512821E-2</v>
      </c>
      <c r="M11" s="6">
        <f>K11</f>
        <v>6.820512820512821E-2</v>
      </c>
      <c r="N11" t="s">
        <v>52</v>
      </c>
    </row>
    <row r="12" spans="1:14">
      <c r="A12" s="8">
        <v>46296</v>
      </c>
      <c r="B12" t="s">
        <v>32</v>
      </c>
      <c r="C12" t="s">
        <v>16</v>
      </c>
      <c r="D12" t="s">
        <v>33</v>
      </c>
      <c r="E12" s="9">
        <v>7000000</v>
      </c>
      <c r="F12" s="9">
        <v>300000</v>
      </c>
      <c r="G12" s="9">
        <v>0</v>
      </c>
      <c r="H12" s="9">
        <v>0</v>
      </c>
      <c r="I12" s="9">
        <v>7480000</v>
      </c>
      <c r="J12" s="4">
        <f>I12-E12-F12+G12+H12</f>
        <v>180000</v>
      </c>
      <c r="K12" s="6">
        <f>IFERROR(J12/(E12+F12),0)</f>
        <v>2.4657534246575342E-2</v>
      </c>
      <c r="L12" s="6">
        <f>K12</f>
        <v>2.4657534246575342E-2</v>
      </c>
      <c r="M12" s="6">
        <f>K12</f>
        <v>2.4657534246575342E-2</v>
      </c>
      <c r="N12" t="s">
        <v>52</v>
      </c>
    </row>
    <row r="13" spans="1:14">
      <c r="A13" s="8">
        <v>46296</v>
      </c>
      <c r="B13" t="s">
        <v>32</v>
      </c>
      <c r="C13" t="s">
        <v>20</v>
      </c>
      <c r="D13" t="s">
        <v>34</v>
      </c>
      <c r="E13" s="9">
        <v>13500000</v>
      </c>
      <c r="F13" s="9">
        <v>500000</v>
      </c>
      <c r="G13" s="9">
        <v>0</v>
      </c>
      <c r="H13" s="9">
        <v>60000</v>
      </c>
      <c r="I13" s="9">
        <v>14380000</v>
      </c>
      <c r="J13" s="4">
        <f>I13-E13-F13+G13+H13</f>
        <v>440000</v>
      </c>
      <c r="K13" s="6">
        <f>IFERROR(J13/(E13+F13),0)</f>
        <v>3.1428571428571431E-2</v>
      </c>
      <c r="L13" s="6">
        <f>K13</f>
        <v>3.1428571428571431E-2</v>
      </c>
      <c r="M13" s="6">
        <f>K13</f>
        <v>3.1428571428571431E-2</v>
      </c>
      <c r="N13" t="s">
        <v>52</v>
      </c>
    </row>
    <row r="14" spans="1:14">
      <c r="A14" s="8">
        <v>46296</v>
      </c>
      <c r="B14" t="s">
        <v>35</v>
      </c>
      <c r="C14" t="s">
        <v>16</v>
      </c>
      <c r="D14" t="s">
        <v>36</v>
      </c>
      <c r="E14" s="9">
        <v>6000000</v>
      </c>
      <c r="F14" s="9">
        <v>400000</v>
      </c>
      <c r="G14" s="9">
        <v>0</v>
      </c>
      <c r="H14" s="9">
        <v>0</v>
      </c>
      <c r="I14" s="9">
        <v>6220000</v>
      </c>
      <c r="J14" s="4">
        <f>I14-E14-F14+G14+H14</f>
        <v>-180000</v>
      </c>
      <c r="K14" s="6">
        <f>IFERROR(J14/(E14+F14),0)</f>
        <v>-2.8125000000000001E-2</v>
      </c>
      <c r="L14" s="6">
        <f>K14</f>
        <v>-2.8125000000000001E-2</v>
      </c>
      <c r="M14" s="6">
        <f>K14</f>
        <v>-2.8125000000000001E-2</v>
      </c>
      <c r="N14" t="s">
        <v>52</v>
      </c>
    </row>
    <row r="15" spans="1:14">
      <c r="A15" s="8">
        <v>46296</v>
      </c>
      <c r="B15" t="s">
        <v>35</v>
      </c>
      <c r="C15" t="s">
        <v>20</v>
      </c>
      <c r="D15" t="s">
        <v>37</v>
      </c>
      <c r="E15" s="9">
        <v>5500000</v>
      </c>
      <c r="F15" s="9">
        <v>200000</v>
      </c>
      <c r="G15" s="9">
        <v>0</v>
      </c>
      <c r="H15" s="9">
        <v>25000</v>
      </c>
      <c r="I15" s="9">
        <v>5880000</v>
      </c>
      <c r="J15" s="4">
        <f>I15-E15-F15+G15+H15</f>
        <v>205000</v>
      </c>
      <c r="K15" s="6">
        <f>IFERROR(J15/(E15+F15),0)</f>
        <v>3.5964912280701755E-2</v>
      </c>
      <c r="L15" s="6">
        <f>K15</f>
        <v>3.5964912280701755E-2</v>
      </c>
      <c r="M15" s="6">
        <f>K15</f>
        <v>3.5964912280701755E-2</v>
      </c>
      <c r="N15" t="s">
        <v>52</v>
      </c>
    </row>
    <row r="16" spans="1:14">
      <c r="A16" s="8">
        <v>46296</v>
      </c>
      <c r="B16" t="s">
        <v>38</v>
      </c>
      <c r="C16" t="s">
        <v>16</v>
      </c>
      <c r="D16" t="s">
        <v>39</v>
      </c>
      <c r="E16" s="9">
        <v>5000000</v>
      </c>
      <c r="F16" s="9">
        <v>0</v>
      </c>
      <c r="G16" s="9">
        <v>0</v>
      </c>
      <c r="H16" s="9">
        <v>30000</v>
      </c>
      <c r="I16" s="9">
        <v>5260000</v>
      </c>
      <c r="J16" s="4">
        <f>I16-E16-F16+G16+H16</f>
        <v>290000</v>
      </c>
      <c r="K16" s="6">
        <f>IFERROR(J16/(E16+F16),0)</f>
        <v>5.8000000000000003E-2</v>
      </c>
      <c r="L16" s="6">
        <f>K16</f>
        <v>5.8000000000000003E-2</v>
      </c>
      <c r="M16" s="6">
        <f>K16</f>
        <v>5.8000000000000003E-2</v>
      </c>
      <c r="N16" t="s">
        <v>52</v>
      </c>
    </row>
    <row r="17" spans="1:14">
      <c r="A17" s="8">
        <v>46296</v>
      </c>
      <c r="B17" t="s">
        <v>38</v>
      </c>
      <c r="C17" t="s">
        <v>20</v>
      </c>
      <c r="D17" t="s">
        <v>40</v>
      </c>
      <c r="E17" s="9">
        <v>7500000</v>
      </c>
      <c r="F17" s="9">
        <v>600000</v>
      </c>
      <c r="G17" s="9">
        <v>0</v>
      </c>
      <c r="H17" s="9">
        <v>40000</v>
      </c>
      <c r="I17" s="9">
        <v>8390000</v>
      </c>
      <c r="J17" s="4">
        <f>I17-E17-F17+G17+H17</f>
        <v>330000</v>
      </c>
      <c r="K17" s="6">
        <f>IFERROR(J17/(E17+F17),0)</f>
        <v>4.0740740740740744E-2</v>
      </c>
      <c r="L17" s="6">
        <f>K17</f>
        <v>4.0740740740740744E-2</v>
      </c>
      <c r="M17" s="6">
        <f>K17</f>
        <v>4.0740740740740744E-2</v>
      </c>
      <c r="N17" t="s">
        <v>52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3"/>
  <sheetViews>
    <sheetView zoomScaleNormal="100" zoomScaleSheetLayoutView="100" workbookViewId="0"/>
  </sheetViews>
  <sheetFormatPr defaultRowHeight="15"/>
  <cols>
    <col min="1" max="1" width="12" customWidth="1"/>
    <col min="2" max="2" width="9" customWidth="1"/>
    <col min="3" max="3" width="17" customWidth="1"/>
    <col min="4" max="4" width="9" customWidth="1"/>
    <col min="5" max="5" width="13" customWidth="1"/>
    <col min="6" max="6" width="20" customWidth="1"/>
    <col min="7" max="7" width="10" customWidth="1"/>
    <col min="8" max="9" width="13" customWidth="1"/>
    <col min="10" max="10" width="12" customWidth="1"/>
    <col min="11" max="12" width="13" customWidth="1"/>
    <col min="13" max="13" width="11" customWidth="1"/>
    <col min="14" max="15" width="12" customWidth="1"/>
    <col min="16" max="16" width="13" customWidth="1"/>
  </cols>
  <sheetData>
    <row r="1" spans="1:16" ht="32.1" customHeight="1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>
      <c r="A3" s="2" t="s">
        <v>1</v>
      </c>
      <c r="B3" s="2" t="s">
        <v>2</v>
      </c>
      <c r="C3" s="2" t="s">
        <v>4</v>
      </c>
      <c r="D3" s="2" t="s">
        <v>5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6</v>
      </c>
      <c r="J3" s="2" t="s">
        <v>58</v>
      </c>
      <c r="K3" s="2" t="s">
        <v>59</v>
      </c>
      <c r="L3" s="2" t="s">
        <v>8</v>
      </c>
      <c r="M3" s="2" t="s">
        <v>60</v>
      </c>
      <c r="N3" s="2" t="s">
        <v>61</v>
      </c>
      <c r="O3" s="2" t="s">
        <v>62</v>
      </c>
      <c r="P3" s="2" t="s">
        <v>63</v>
      </c>
    </row>
    <row r="4" spans="1:16">
      <c r="A4" t="s">
        <v>26</v>
      </c>
      <c r="B4" t="s">
        <v>16</v>
      </c>
      <c r="C4" t="s">
        <v>27</v>
      </c>
      <c r="D4" t="s">
        <v>19</v>
      </c>
      <c r="E4" t="s">
        <v>64</v>
      </c>
      <c r="F4" t="s">
        <v>65</v>
      </c>
      <c r="G4" s="10">
        <v>100</v>
      </c>
      <c r="H4" s="10">
        <v>65000</v>
      </c>
      <c r="I4" s="10">
        <f>IFERROR(G4*H4,0)</f>
        <v>6500000</v>
      </c>
      <c r="J4" s="10">
        <v>71200</v>
      </c>
      <c r="K4" s="10">
        <f>IFERROR(G4*J4,0)</f>
        <v>7120000</v>
      </c>
      <c r="L4" s="10">
        <f>K4-I4</f>
        <v>620000</v>
      </c>
      <c r="M4" s="6">
        <f>IFERROR(L4/I4,0)</f>
        <v>9.5384615384615387E-2</v>
      </c>
      <c r="N4" s="10">
        <v>68000</v>
      </c>
      <c r="O4" s="10">
        <v>71200</v>
      </c>
      <c r="P4" s="6">
        <f>IFERROR(O4/N4-1,0)</f>
        <v>4.705882352941182E-2</v>
      </c>
    </row>
    <row r="5" spans="1:16">
      <c r="A5" t="s">
        <v>26</v>
      </c>
      <c r="B5" t="s">
        <v>16</v>
      </c>
      <c r="C5" t="s">
        <v>27</v>
      </c>
      <c r="D5" t="s">
        <v>19</v>
      </c>
      <c r="E5" t="s">
        <v>66</v>
      </c>
      <c r="F5" t="s">
        <v>67</v>
      </c>
      <c r="G5" s="10">
        <v>100</v>
      </c>
      <c r="H5" s="10">
        <v>180000</v>
      </c>
      <c r="I5" s="10">
        <f>IFERROR(G5*H5,0)</f>
        <v>18000000</v>
      </c>
      <c r="J5" s="10">
        <v>192000</v>
      </c>
      <c r="K5" s="10">
        <f>IFERROR(G5*J5,0)</f>
        <v>19200000</v>
      </c>
      <c r="L5" s="10">
        <f>K5-I5</f>
        <v>1200000</v>
      </c>
      <c r="M5" s="6">
        <f>IFERROR(L5/I5,0)</f>
        <v>6.6666666666666666E-2</v>
      </c>
      <c r="N5" s="10">
        <v>185000</v>
      </c>
      <c r="O5" s="10">
        <v>192000</v>
      </c>
      <c r="P5" s="6">
        <f>IFERROR(O5/N5-1,0)</f>
        <v>3.7837837837837895E-2</v>
      </c>
    </row>
    <row r="6" spans="1:16">
      <c r="G6" s="10"/>
      <c r="H6" s="10"/>
      <c r="I6" s="10">
        <f>IFERROR(G6*H6,0)</f>
        <v>0</v>
      </c>
      <c r="J6" s="10"/>
      <c r="K6" s="10">
        <f>IFERROR(G6*J6,0)</f>
        <v>0</v>
      </c>
      <c r="L6" s="10">
        <f>K6-I6</f>
        <v>0</v>
      </c>
      <c r="M6" s="6">
        <f>IFERROR(L6/I6,0)</f>
        <v>0</v>
      </c>
      <c r="N6" s="10"/>
      <c r="O6" s="10"/>
      <c r="P6" s="6">
        <f>IFERROR(O6/N6-1,0)</f>
        <v>0</v>
      </c>
    </row>
    <row r="7" spans="1:16">
      <c r="G7" s="10"/>
      <c r="H7" s="10"/>
      <c r="I7" s="10">
        <f>IFERROR(G7*H7,0)</f>
        <v>0</v>
      </c>
      <c r="J7" s="10"/>
      <c r="K7" s="10">
        <f>IFERROR(G7*J7,0)</f>
        <v>0</v>
      </c>
      <c r="L7" s="10">
        <f>K7-I7</f>
        <v>0</v>
      </c>
      <c r="M7" s="6">
        <f>IFERROR(L7/I7,0)</f>
        <v>0</v>
      </c>
      <c r="N7" s="10"/>
      <c r="O7" s="10"/>
      <c r="P7" s="6">
        <f>IFERROR(O7/N7-1,0)</f>
        <v>0</v>
      </c>
    </row>
    <row r="8" spans="1:16">
      <c r="G8" s="10"/>
      <c r="H8" s="10"/>
      <c r="I8" s="10">
        <f>IFERROR(G8*H8,0)</f>
        <v>0</v>
      </c>
      <c r="J8" s="10"/>
      <c r="K8" s="10">
        <f>IFERROR(G8*J8,0)</f>
        <v>0</v>
      </c>
      <c r="L8" s="10">
        <f>K8-I8</f>
        <v>0</v>
      </c>
      <c r="M8" s="6">
        <f>IFERROR(L8/I8,0)</f>
        <v>0</v>
      </c>
      <c r="N8" s="10"/>
      <c r="O8" s="10"/>
      <c r="P8" s="6">
        <f>IFERROR(O8/N8-1,0)</f>
        <v>0</v>
      </c>
    </row>
    <row r="9" spans="1:16">
      <c r="G9" s="10"/>
      <c r="H9" s="10"/>
      <c r="I9" s="10">
        <f>IFERROR(G9*H9,0)</f>
        <v>0</v>
      </c>
      <c r="J9" s="10"/>
      <c r="K9" s="10">
        <f>IFERROR(G9*J9,0)</f>
        <v>0</v>
      </c>
      <c r="L9" s="10">
        <f>K9-I9</f>
        <v>0</v>
      </c>
      <c r="M9" s="6">
        <f>IFERROR(L9/I9,0)</f>
        <v>0</v>
      </c>
      <c r="N9" s="10"/>
      <c r="O9" s="10"/>
      <c r="P9" s="6">
        <f>IFERROR(O9/N9-1,0)</f>
        <v>0</v>
      </c>
    </row>
    <row r="10" spans="1:16">
      <c r="G10" s="10"/>
      <c r="H10" s="10"/>
      <c r="I10" s="10">
        <f>IFERROR(G10*H10,0)</f>
        <v>0</v>
      </c>
      <c r="J10" s="10"/>
      <c r="K10" s="10">
        <f>IFERROR(G10*J10,0)</f>
        <v>0</v>
      </c>
      <c r="L10" s="10">
        <f>K10-I10</f>
        <v>0</v>
      </c>
      <c r="M10" s="6">
        <f>IFERROR(L10/I10,0)</f>
        <v>0</v>
      </c>
      <c r="N10" s="10"/>
      <c r="O10" s="10"/>
      <c r="P10" s="6">
        <f>IFERROR(O10/N10-1,0)</f>
        <v>0</v>
      </c>
    </row>
    <row r="11" spans="1:16">
      <c r="G11" s="10"/>
      <c r="H11" s="10"/>
      <c r="I11" s="10">
        <f>IFERROR(G11*H11,0)</f>
        <v>0</v>
      </c>
      <c r="J11" s="10"/>
      <c r="K11" s="10">
        <f>IFERROR(G11*J11,0)</f>
        <v>0</v>
      </c>
      <c r="L11" s="10">
        <f>K11-I11</f>
        <v>0</v>
      </c>
      <c r="M11" s="6">
        <f>IFERROR(L11/I11,0)</f>
        <v>0</v>
      </c>
      <c r="N11" s="10"/>
      <c r="O11" s="10"/>
      <c r="P11" s="6">
        <f>IFERROR(O11/N11-1,0)</f>
        <v>0</v>
      </c>
    </row>
    <row r="12" spans="1:16">
      <c r="G12" s="10"/>
      <c r="H12" s="10"/>
      <c r="I12" s="10">
        <f>IFERROR(G12*H12,0)</f>
        <v>0</v>
      </c>
      <c r="J12" s="10"/>
      <c r="K12" s="10">
        <f>IFERROR(G12*J12,0)</f>
        <v>0</v>
      </c>
      <c r="L12" s="10">
        <f>K12-I12</f>
        <v>0</v>
      </c>
      <c r="M12" s="6">
        <f>IFERROR(L12/I12,0)</f>
        <v>0</v>
      </c>
      <c r="N12" s="10"/>
      <c r="O12" s="10"/>
      <c r="P12" s="6">
        <f>IFERROR(O12/N12-1,0)</f>
        <v>0</v>
      </c>
    </row>
    <row r="13" spans="1:16">
      <c r="G13" s="10"/>
      <c r="H13" s="10"/>
      <c r="I13" s="10">
        <f>IFERROR(G13*H13,0)</f>
        <v>0</v>
      </c>
      <c r="J13" s="10"/>
      <c r="K13" s="10">
        <f>IFERROR(G13*J13,0)</f>
        <v>0</v>
      </c>
      <c r="L13" s="10">
        <f>K13-I13</f>
        <v>0</v>
      </c>
      <c r="M13" s="6">
        <f>IFERROR(L13/I13,0)</f>
        <v>0</v>
      </c>
      <c r="N13" s="10"/>
      <c r="O13" s="10"/>
      <c r="P13" s="6">
        <f>IFERROR(O13/N13-1,0)</f>
        <v>0</v>
      </c>
    </row>
    <row r="14" spans="1:16">
      <c r="G14" s="10"/>
      <c r="H14" s="10"/>
      <c r="I14" s="10">
        <f>IFERROR(G14*H14,0)</f>
        <v>0</v>
      </c>
      <c r="J14" s="10"/>
      <c r="K14" s="10">
        <f>IFERROR(G14*J14,0)</f>
        <v>0</v>
      </c>
      <c r="L14" s="10">
        <f>K14-I14</f>
        <v>0</v>
      </c>
      <c r="M14" s="6">
        <f>IFERROR(L14/I14,0)</f>
        <v>0</v>
      </c>
      <c r="N14" s="10"/>
      <c r="O14" s="10"/>
      <c r="P14" s="6">
        <f>IFERROR(O14/N14-1,0)</f>
        <v>0</v>
      </c>
    </row>
    <row r="15" spans="1:16">
      <c r="G15" s="10"/>
      <c r="H15" s="10"/>
      <c r="I15" s="10">
        <f>IFERROR(G15*H15,0)</f>
        <v>0</v>
      </c>
      <c r="J15" s="10"/>
      <c r="K15" s="10">
        <f>IFERROR(G15*J15,0)</f>
        <v>0</v>
      </c>
      <c r="L15" s="10">
        <f>K15-I15</f>
        <v>0</v>
      </c>
      <c r="M15" s="6">
        <f>IFERROR(L15/I15,0)</f>
        <v>0</v>
      </c>
      <c r="N15" s="10"/>
      <c r="O15" s="10"/>
      <c r="P15" s="6">
        <f>IFERROR(O15/N15-1,0)</f>
        <v>0</v>
      </c>
    </row>
    <row r="16" spans="1:16">
      <c r="G16" s="10"/>
      <c r="H16" s="10"/>
      <c r="I16" s="10">
        <f>IFERROR(G16*H16,0)</f>
        <v>0</v>
      </c>
      <c r="J16" s="10"/>
      <c r="K16" s="10">
        <f>IFERROR(G16*J16,0)</f>
        <v>0</v>
      </c>
      <c r="L16" s="10">
        <f>K16-I16</f>
        <v>0</v>
      </c>
      <c r="M16" s="6">
        <f>IFERROR(L16/I16,0)</f>
        <v>0</v>
      </c>
      <c r="N16" s="10"/>
      <c r="O16" s="10"/>
      <c r="P16" s="6">
        <f>IFERROR(O16/N16-1,0)</f>
        <v>0</v>
      </c>
    </row>
    <row r="17" spans="7:16">
      <c r="G17" s="10"/>
      <c r="H17" s="10"/>
      <c r="I17" s="10">
        <f>IFERROR(G17*H17,0)</f>
        <v>0</v>
      </c>
      <c r="J17" s="10"/>
      <c r="K17" s="10">
        <f>IFERROR(G17*J17,0)</f>
        <v>0</v>
      </c>
      <c r="L17" s="10">
        <f>K17-I17</f>
        <v>0</v>
      </c>
      <c r="M17" s="6">
        <f>IFERROR(L17/I17,0)</f>
        <v>0</v>
      </c>
      <c r="N17" s="10"/>
      <c r="O17" s="10"/>
      <c r="P17" s="6">
        <f>IFERROR(O17/N17-1,0)</f>
        <v>0</v>
      </c>
    </row>
    <row r="18" spans="7:16">
      <c r="G18" s="10"/>
      <c r="H18" s="10"/>
      <c r="I18" s="10">
        <f>IFERROR(G18*H18,0)</f>
        <v>0</v>
      </c>
      <c r="J18" s="10"/>
      <c r="K18" s="10">
        <f>IFERROR(G18*J18,0)</f>
        <v>0</v>
      </c>
      <c r="L18" s="10">
        <f>K18-I18</f>
        <v>0</v>
      </c>
      <c r="M18" s="6">
        <f>IFERROR(L18/I18,0)</f>
        <v>0</v>
      </c>
      <c r="N18" s="10"/>
      <c r="O18" s="10"/>
      <c r="P18" s="6">
        <f>IFERROR(O18/N18-1,0)</f>
        <v>0</v>
      </c>
    </row>
    <row r="19" spans="7:16">
      <c r="G19" s="10"/>
      <c r="H19" s="10"/>
      <c r="I19" s="10">
        <f>IFERROR(G19*H19,0)</f>
        <v>0</v>
      </c>
      <c r="J19" s="10"/>
      <c r="K19" s="10">
        <f>IFERROR(G19*J19,0)</f>
        <v>0</v>
      </c>
      <c r="L19" s="10">
        <f>K19-I19</f>
        <v>0</v>
      </c>
      <c r="M19" s="6">
        <f>IFERROR(L19/I19,0)</f>
        <v>0</v>
      </c>
      <c r="N19" s="10"/>
      <c r="O19" s="10"/>
      <c r="P19" s="6">
        <f>IFERROR(O19/N19-1,0)</f>
        <v>0</v>
      </c>
    </row>
    <row r="20" spans="7:16">
      <c r="G20" s="10"/>
      <c r="H20" s="10"/>
      <c r="I20" s="10">
        <f>IFERROR(G20*H20,0)</f>
        <v>0</v>
      </c>
      <c r="J20" s="10"/>
      <c r="K20" s="10">
        <f>IFERROR(G20*J20,0)</f>
        <v>0</v>
      </c>
      <c r="L20" s="10">
        <f>K20-I20</f>
        <v>0</v>
      </c>
      <c r="M20" s="6">
        <f>IFERROR(L20/I20,0)</f>
        <v>0</v>
      </c>
      <c r="N20" s="10"/>
      <c r="O20" s="10"/>
      <c r="P20" s="6">
        <f>IFERROR(O20/N20-1,0)</f>
        <v>0</v>
      </c>
    </row>
    <row r="21" spans="7:16">
      <c r="G21" s="10"/>
      <c r="H21" s="10"/>
      <c r="I21" s="10">
        <f>IFERROR(G21*H21,0)</f>
        <v>0</v>
      </c>
      <c r="J21" s="10"/>
      <c r="K21" s="10">
        <f>IFERROR(G21*J21,0)</f>
        <v>0</v>
      </c>
      <c r="L21" s="10">
        <f>K21-I21</f>
        <v>0</v>
      </c>
      <c r="M21" s="6">
        <f>IFERROR(L21/I21,0)</f>
        <v>0</v>
      </c>
      <c r="N21" s="10"/>
      <c r="O21" s="10"/>
      <c r="P21" s="6">
        <f>IFERROR(O21/N21-1,0)</f>
        <v>0</v>
      </c>
    </row>
    <row r="22" spans="7:16">
      <c r="G22" s="10"/>
      <c r="H22" s="10"/>
      <c r="I22" s="10">
        <f>IFERROR(G22*H22,0)</f>
        <v>0</v>
      </c>
      <c r="J22" s="10"/>
      <c r="K22" s="10">
        <f>IFERROR(G22*J22,0)</f>
        <v>0</v>
      </c>
      <c r="L22" s="10">
        <f>K22-I22</f>
        <v>0</v>
      </c>
      <c r="M22" s="6">
        <f>IFERROR(L22/I22,0)</f>
        <v>0</v>
      </c>
      <c r="N22" s="10"/>
      <c r="O22" s="10"/>
      <c r="P22" s="6">
        <f>IFERROR(O22/N22-1,0)</f>
        <v>0</v>
      </c>
    </row>
    <row r="23" spans="7:16">
      <c r="G23" s="10"/>
      <c r="H23" s="10"/>
      <c r="I23" s="10">
        <f>IFERROR(G23*H23,0)</f>
        <v>0</v>
      </c>
      <c r="J23" s="10"/>
      <c r="K23" s="10">
        <f>IFERROR(G23*J23,0)</f>
        <v>0</v>
      </c>
      <c r="L23" s="10">
        <f>K23-I23</f>
        <v>0</v>
      </c>
      <c r="M23" s="6">
        <f>IFERROR(L23/I23,0)</f>
        <v>0</v>
      </c>
      <c r="N23" s="10"/>
      <c r="O23" s="10"/>
      <c r="P23" s="6">
        <f>IFERROR(O23/N23-1,0)</f>
        <v>0</v>
      </c>
    </row>
    <row r="24" spans="7:16">
      <c r="G24" s="10"/>
      <c r="H24" s="10"/>
      <c r="I24" s="10">
        <f>IFERROR(G24*H24,0)</f>
        <v>0</v>
      </c>
      <c r="J24" s="10"/>
      <c r="K24" s="10">
        <f>IFERROR(G24*J24,0)</f>
        <v>0</v>
      </c>
      <c r="L24" s="10">
        <f>K24-I24</f>
        <v>0</v>
      </c>
      <c r="M24" s="6">
        <f>IFERROR(L24/I24,0)</f>
        <v>0</v>
      </c>
      <c r="N24" s="10"/>
      <c r="O24" s="10"/>
      <c r="P24" s="6">
        <f>IFERROR(O24/N24-1,0)</f>
        <v>0</v>
      </c>
    </row>
    <row r="25" spans="7:16">
      <c r="G25" s="10"/>
      <c r="H25" s="10"/>
      <c r="I25" s="10">
        <f>IFERROR(G25*H25,0)</f>
        <v>0</v>
      </c>
      <c r="J25" s="10"/>
      <c r="K25" s="10">
        <f>IFERROR(G25*J25,0)</f>
        <v>0</v>
      </c>
      <c r="L25" s="10">
        <f>K25-I25</f>
        <v>0</v>
      </c>
      <c r="M25" s="6">
        <f>IFERROR(L25/I25,0)</f>
        <v>0</v>
      </c>
      <c r="N25" s="10"/>
      <c r="O25" s="10"/>
      <c r="P25" s="6">
        <f>IFERROR(O25/N25-1,0)</f>
        <v>0</v>
      </c>
    </row>
    <row r="26" spans="7:16">
      <c r="G26" s="10"/>
      <c r="H26" s="10"/>
      <c r="I26" s="10">
        <f>IFERROR(G26*H26,0)</f>
        <v>0</v>
      </c>
      <c r="J26" s="10"/>
      <c r="K26" s="10">
        <f>IFERROR(G26*J26,0)</f>
        <v>0</v>
      </c>
      <c r="L26" s="10">
        <f>K26-I26</f>
        <v>0</v>
      </c>
      <c r="M26" s="6">
        <f>IFERROR(L26/I26,0)</f>
        <v>0</v>
      </c>
      <c r="N26" s="10"/>
      <c r="O26" s="10"/>
      <c r="P26" s="6">
        <f>IFERROR(O26/N26-1,0)</f>
        <v>0</v>
      </c>
    </row>
    <row r="27" spans="7:16">
      <c r="G27" s="10"/>
      <c r="H27" s="10"/>
      <c r="I27" s="10">
        <f>IFERROR(G27*H27,0)</f>
        <v>0</v>
      </c>
      <c r="J27" s="10"/>
      <c r="K27" s="10">
        <f>IFERROR(G27*J27,0)</f>
        <v>0</v>
      </c>
      <c r="L27" s="10">
        <f>K27-I27</f>
        <v>0</v>
      </c>
      <c r="M27" s="6">
        <f>IFERROR(L27/I27,0)</f>
        <v>0</v>
      </c>
      <c r="N27" s="10"/>
      <c r="O27" s="10"/>
      <c r="P27" s="6">
        <f>IFERROR(O27/N27-1,0)</f>
        <v>0</v>
      </c>
    </row>
    <row r="28" spans="7:16">
      <c r="G28" s="10"/>
      <c r="H28" s="10"/>
      <c r="I28" s="10">
        <f>IFERROR(G28*H28,0)</f>
        <v>0</v>
      </c>
      <c r="J28" s="10"/>
      <c r="K28" s="10">
        <f>IFERROR(G28*J28,0)</f>
        <v>0</v>
      </c>
      <c r="L28" s="10">
        <f>K28-I28</f>
        <v>0</v>
      </c>
      <c r="M28" s="6">
        <f>IFERROR(L28/I28,0)</f>
        <v>0</v>
      </c>
      <c r="N28" s="10"/>
      <c r="O28" s="10"/>
      <c r="P28" s="6">
        <f>IFERROR(O28/N28-1,0)</f>
        <v>0</v>
      </c>
    </row>
    <row r="29" spans="7:16">
      <c r="G29" s="10"/>
      <c r="H29" s="10"/>
      <c r="I29" s="10">
        <f>IFERROR(G29*H29,0)</f>
        <v>0</v>
      </c>
      <c r="J29" s="10"/>
      <c r="K29" s="10">
        <f>IFERROR(G29*J29,0)</f>
        <v>0</v>
      </c>
      <c r="L29" s="10">
        <f>K29-I29</f>
        <v>0</v>
      </c>
      <c r="M29" s="6">
        <f>IFERROR(L29/I29,0)</f>
        <v>0</v>
      </c>
      <c r="N29" s="10"/>
      <c r="O29" s="10"/>
      <c r="P29" s="6">
        <f>IFERROR(O29/N29-1,0)</f>
        <v>0</v>
      </c>
    </row>
    <row r="30" spans="7:16">
      <c r="G30" s="10"/>
      <c r="H30" s="10"/>
      <c r="I30" s="10">
        <f>IFERROR(G30*H30,0)</f>
        <v>0</v>
      </c>
      <c r="J30" s="10"/>
      <c r="K30" s="10">
        <f>IFERROR(G30*J30,0)</f>
        <v>0</v>
      </c>
      <c r="L30" s="10">
        <f>K30-I30</f>
        <v>0</v>
      </c>
      <c r="M30" s="6">
        <f>IFERROR(L30/I30,0)</f>
        <v>0</v>
      </c>
      <c r="N30" s="10"/>
      <c r="O30" s="10"/>
      <c r="P30" s="6">
        <f>IFERROR(O30/N30-1,0)</f>
        <v>0</v>
      </c>
    </row>
    <row r="31" spans="7:16">
      <c r="G31" s="10"/>
      <c r="H31" s="10"/>
      <c r="I31" s="10">
        <f>IFERROR(G31*H31,0)</f>
        <v>0</v>
      </c>
      <c r="J31" s="10"/>
      <c r="K31" s="10">
        <f>IFERROR(G31*J31,0)</f>
        <v>0</v>
      </c>
      <c r="L31" s="10">
        <f>K31-I31</f>
        <v>0</v>
      </c>
      <c r="M31" s="6">
        <f>IFERROR(L31/I31,0)</f>
        <v>0</v>
      </c>
      <c r="N31" s="10"/>
      <c r="O31" s="10"/>
      <c r="P31" s="6">
        <f>IFERROR(O31/N31-1,0)</f>
        <v>0</v>
      </c>
    </row>
    <row r="32" spans="7:16">
      <c r="G32" s="10"/>
      <c r="H32" s="10"/>
      <c r="I32" s="10">
        <f>IFERROR(G32*H32,0)</f>
        <v>0</v>
      </c>
      <c r="J32" s="10"/>
      <c r="K32" s="10">
        <f>IFERROR(G32*J32,0)</f>
        <v>0</v>
      </c>
      <c r="L32" s="10">
        <f>K32-I32</f>
        <v>0</v>
      </c>
      <c r="M32" s="6">
        <f>IFERROR(L32/I32,0)</f>
        <v>0</v>
      </c>
      <c r="N32" s="10"/>
      <c r="O32" s="10"/>
      <c r="P32" s="6">
        <f>IFERROR(O32/N32-1,0)</f>
        <v>0</v>
      </c>
    </row>
    <row r="33" spans="7:16">
      <c r="G33" s="10"/>
      <c r="H33" s="10"/>
      <c r="I33" s="10">
        <f>IFERROR(G33*H33,0)</f>
        <v>0</v>
      </c>
      <c r="J33" s="10"/>
      <c r="K33" s="10">
        <f>IFERROR(G33*J33,0)</f>
        <v>0</v>
      </c>
      <c r="L33" s="10">
        <f>K33-I33</f>
        <v>0</v>
      </c>
      <c r="M33" s="6">
        <f>IFERROR(L33/I33,0)</f>
        <v>0</v>
      </c>
      <c r="N33" s="10"/>
      <c r="O33" s="10"/>
      <c r="P33" s="6">
        <f>IFERROR(O33/N33-1,0)</f>
        <v>0</v>
      </c>
    </row>
    <row r="34" spans="7:16">
      <c r="G34" s="10"/>
      <c r="H34" s="10"/>
      <c r="I34" s="10">
        <f>IFERROR(G34*H34,0)</f>
        <v>0</v>
      </c>
      <c r="J34" s="10"/>
      <c r="K34" s="10">
        <f>IFERROR(G34*J34,0)</f>
        <v>0</v>
      </c>
      <c r="L34" s="10">
        <f>K34-I34</f>
        <v>0</v>
      </c>
      <c r="M34" s="6">
        <f>IFERROR(L34/I34,0)</f>
        <v>0</v>
      </c>
      <c r="N34" s="10"/>
      <c r="O34" s="10"/>
      <c r="P34" s="6">
        <f>IFERROR(O34/N34-1,0)</f>
        <v>0</v>
      </c>
    </row>
    <row r="35" spans="7:16">
      <c r="G35" s="10"/>
      <c r="H35" s="10"/>
      <c r="I35" s="10">
        <f>IFERROR(G35*H35,0)</f>
        <v>0</v>
      </c>
      <c r="J35" s="10"/>
      <c r="K35" s="10">
        <f>IFERROR(G35*J35,0)</f>
        <v>0</v>
      </c>
      <c r="L35" s="10">
        <f>K35-I35</f>
        <v>0</v>
      </c>
      <c r="M35" s="6">
        <f>IFERROR(L35/I35,0)</f>
        <v>0</v>
      </c>
      <c r="N35" s="10"/>
      <c r="O35" s="10"/>
      <c r="P35" s="6">
        <f>IFERROR(O35/N35-1,0)</f>
        <v>0</v>
      </c>
    </row>
    <row r="36" spans="7:16">
      <c r="G36" s="10"/>
      <c r="H36" s="10"/>
      <c r="I36" s="10">
        <f>IFERROR(G36*H36,0)</f>
        <v>0</v>
      </c>
      <c r="J36" s="10"/>
      <c r="K36" s="10">
        <f>IFERROR(G36*J36,0)</f>
        <v>0</v>
      </c>
      <c r="L36" s="10">
        <f>K36-I36</f>
        <v>0</v>
      </c>
      <c r="M36" s="6">
        <f>IFERROR(L36/I36,0)</f>
        <v>0</v>
      </c>
      <c r="N36" s="10"/>
      <c r="O36" s="10"/>
      <c r="P36" s="6">
        <f>IFERROR(O36/N36-1,0)</f>
        <v>0</v>
      </c>
    </row>
    <row r="37" spans="7:16">
      <c r="G37" s="10"/>
      <c r="H37" s="10"/>
      <c r="I37" s="10">
        <f>IFERROR(G37*H37,0)</f>
        <v>0</v>
      </c>
      <c r="J37" s="10"/>
      <c r="K37" s="10">
        <f>IFERROR(G37*J37,0)</f>
        <v>0</v>
      </c>
      <c r="L37" s="10">
        <f>K37-I37</f>
        <v>0</v>
      </c>
      <c r="M37" s="6">
        <f>IFERROR(L37/I37,0)</f>
        <v>0</v>
      </c>
      <c r="N37" s="10"/>
      <c r="O37" s="10"/>
      <c r="P37" s="6">
        <f>IFERROR(O37/N37-1,0)</f>
        <v>0</v>
      </c>
    </row>
    <row r="38" spans="7:16">
      <c r="G38" s="10"/>
      <c r="H38" s="10"/>
      <c r="I38" s="10">
        <f>IFERROR(G38*H38,0)</f>
        <v>0</v>
      </c>
      <c r="J38" s="10"/>
      <c r="K38" s="10">
        <f>IFERROR(G38*J38,0)</f>
        <v>0</v>
      </c>
      <c r="L38" s="10">
        <f>K38-I38</f>
        <v>0</v>
      </c>
      <c r="M38" s="6">
        <f>IFERROR(L38/I38,0)</f>
        <v>0</v>
      </c>
      <c r="N38" s="10"/>
      <c r="O38" s="10"/>
      <c r="P38" s="6">
        <f>IFERROR(O38/N38-1,0)</f>
        <v>0</v>
      </c>
    </row>
    <row r="39" spans="7:16">
      <c r="G39" s="10"/>
      <c r="H39" s="10"/>
      <c r="I39" s="10">
        <f>IFERROR(G39*H39,0)</f>
        <v>0</v>
      </c>
      <c r="J39" s="10"/>
      <c r="K39" s="10">
        <f>IFERROR(G39*J39,0)</f>
        <v>0</v>
      </c>
      <c r="L39" s="10">
        <f>K39-I39</f>
        <v>0</v>
      </c>
      <c r="M39" s="6">
        <f>IFERROR(L39/I39,0)</f>
        <v>0</v>
      </c>
      <c r="N39" s="10"/>
      <c r="O39" s="10"/>
      <c r="P39" s="6">
        <f>IFERROR(O39/N39-1,0)</f>
        <v>0</v>
      </c>
    </row>
    <row r="40" spans="7:16">
      <c r="G40" s="10"/>
      <c r="H40" s="10"/>
      <c r="I40" s="10">
        <f>IFERROR(G40*H40,0)</f>
        <v>0</v>
      </c>
      <c r="J40" s="10"/>
      <c r="K40" s="10">
        <f>IFERROR(G40*J40,0)</f>
        <v>0</v>
      </c>
      <c r="L40" s="10">
        <f>K40-I40</f>
        <v>0</v>
      </c>
      <c r="M40" s="6">
        <f>IFERROR(L40/I40,0)</f>
        <v>0</v>
      </c>
      <c r="N40" s="10"/>
      <c r="O40" s="10"/>
      <c r="P40" s="6">
        <f>IFERROR(O40/N40-1,0)</f>
        <v>0</v>
      </c>
    </row>
    <row r="41" spans="7:16">
      <c r="G41" s="10"/>
      <c r="H41" s="10"/>
      <c r="I41" s="10">
        <f>IFERROR(G41*H41,0)</f>
        <v>0</v>
      </c>
      <c r="J41" s="10"/>
      <c r="K41" s="10">
        <f>IFERROR(G41*J41,0)</f>
        <v>0</v>
      </c>
      <c r="L41" s="10">
        <f>K41-I41</f>
        <v>0</v>
      </c>
      <c r="M41" s="6">
        <f>IFERROR(L41/I41,0)</f>
        <v>0</v>
      </c>
      <c r="N41" s="10"/>
      <c r="O41" s="10"/>
      <c r="P41" s="6">
        <f>IFERROR(O41/N41-1,0)</f>
        <v>0</v>
      </c>
    </row>
    <row r="42" spans="7:16">
      <c r="G42" s="10"/>
      <c r="H42" s="10"/>
      <c r="I42" s="10">
        <f>IFERROR(G42*H42,0)</f>
        <v>0</v>
      </c>
      <c r="J42" s="10"/>
      <c r="K42" s="10">
        <f>IFERROR(G42*J42,0)</f>
        <v>0</v>
      </c>
      <c r="L42" s="10">
        <f>K42-I42</f>
        <v>0</v>
      </c>
      <c r="M42" s="6">
        <f>IFERROR(L42/I42,0)</f>
        <v>0</v>
      </c>
      <c r="N42" s="10"/>
      <c r="O42" s="10"/>
      <c r="P42" s="6">
        <f>IFERROR(O42/N42-1,0)</f>
        <v>0</v>
      </c>
    </row>
    <row r="43" spans="7:16">
      <c r="G43" s="10"/>
      <c r="H43" s="10"/>
      <c r="I43" s="10">
        <f>IFERROR(G43*H43,0)</f>
        <v>0</v>
      </c>
      <c r="J43" s="10"/>
      <c r="K43" s="10">
        <f>IFERROR(G43*J43,0)</f>
        <v>0</v>
      </c>
      <c r="L43" s="10">
        <f>K43-I43</f>
        <v>0</v>
      </c>
      <c r="M43" s="6">
        <f>IFERROR(L43/I43,0)</f>
        <v>0</v>
      </c>
      <c r="N43" s="10"/>
      <c r="O43" s="10"/>
      <c r="P43" s="6">
        <f>IFERROR(O43/N43-1,0)</f>
        <v>0</v>
      </c>
    </row>
    <row r="44" spans="7:16">
      <c r="G44" s="10"/>
      <c r="H44" s="10"/>
      <c r="I44" s="10">
        <f>IFERROR(G44*H44,0)</f>
        <v>0</v>
      </c>
      <c r="J44" s="10"/>
      <c r="K44" s="10">
        <f>IFERROR(G44*J44,0)</f>
        <v>0</v>
      </c>
      <c r="L44" s="10">
        <f>K44-I44</f>
        <v>0</v>
      </c>
      <c r="M44" s="6">
        <f>IFERROR(L44/I44,0)</f>
        <v>0</v>
      </c>
      <c r="N44" s="10"/>
      <c r="O44" s="10"/>
      <c r="P44" s="6">
        <f>IFERROR(O44/N44-1,0)</f>
        <v>0</v>
      </c>
    </row>
    <row r="45" spans="7:16">
      <c r="G45" s="10"/>
      <c r="H45" s="10"/>
      <c r="I45" s="10">
        <f>IFERROR(G45*H45,0)</f>
        <v>0</v>
      </c>
      <c r="J45" s="10"/>
      <c r="K45" s="10">
        <f>IFERROR(G45*J45,0)</f>
        <v>0</v>
      </c>
      <c r="L45" s="10">
        <f>K45-I45</f>
        <v>0</v>
      </c>
      <c r="M45" s="6">
        <f>IFERROR(L45/I45,0)</f>
        <v>0</v>
      </c>
      <c r="N45" s="10"/>
      <c r="O45" s="10"/>
      <c r="P45" s="6">
        <f>IFERROR(O45/N45-1,0)</f>
        <v>0</v>
      </c>
    </row>
    <row r="46" spans="7:16">
      <c r="G46" s="10"/>
      <c r="H46" s="10"/>
      <c r="I46" s="10">
        <f>IFERROR(G46*H46,0)</f>
        <v>0</v>
      </c>
      <c r="J46" s="10"/>
      <c r="K46" s="10">
        <f>IFERROR(G46*J46,0)</f>
        <v>0</v>
      </c>
      <c r="L46" s="10">
        <f>K46-I46</f>
        <v>0</v>
      </c>
      <c r="M46" s="6">
        <f>IFERROR(L46/I46,0)</f>
        <v>0</v>
      </c>
      <c r="N46" s="10"/>
      <c r="O46" s="10"/>
      <c r="P46" s="6">
        <f>IFERROR(O46/N46-1,0)</f>
        <v>0</v>
      </c>
    </row>
    <row r="47" spans="7:16">
      <c r="G47" s="10"/>
      <c r="H47" s="10"/>
      <c r="I47" s="10">
        <f>IFERROR(G47*H47,0)</f>
        <v>0</v>
      </c>
      <c r="J47" s="10"/>
      <c r="K47" s="10">
        <f>IFERROR(G47*J47,0)</f>
        <v>0</v>
      </c>
      <c r="L47" s="10">
        <f>K47-I47</f>
        <v>0</v>
      </c>
      <c r="M47" s="6">
        <f>IFERROR(L47/I47,0)</f>
        <v>0</v>
      </c>
      <c r="N47" s="10"/>
      <c r="O47" s="10"/>
      <c r="P47" s="6">
        <f>IFERROR(O47/N47-1,0)</f>
        <v>0</v>
      </c>
    </row>
    <row r="48" spans="7:16">
      <c r="G48" s="10"/>
      <c r="H48" s="10"/>
      <c r="I48" s="10">
        <f>IFERROR(G48*H48,0)</f>
        <v>0</v>
      </c>
      <c r="J48" s="10"/>
      <c r="K48" s="10">
        <f>IFERROR(G48*J48,0)</f>
        <v>0</v>
      </c>
      <c r="L48" s="10">
        <f>K48-I48</f>
        <v>0</v>
      </c>
      <c r="M48" s="6">
        <f>IFERROR(L48/I48,0)</f>
        <v>0</v>
      </c>
      <c r="N48" s="10"/>
      <c r="O48" s="10"/>
      <c r="P48" s="6">
        <f>IFERROR(O48/N48-1,0)</f>
        <v>0</v>
      </c>
    </row>
    <row r="49" spans="7:16">
      <c r="G49" s="10"/>
      <c r="H49" s="10"/>
      <c r="I49" s="10">
        <f>IFERROR(G49*H49,0)</f>
        <v>0</v>
      </c>
      <c r="J49" s="10"/>
      <c r="K49" s="10">
        <f>IFERROR(G49*J49,0)</f>
        <v>0</v>
      </c>
      <c r="L49" s="10">
        <f>K49-I49</f>
        <v>0</v>
      </c>
      <c r="M49" s="6">
        <f>IFERROR(L49/I49,0)</f>
        <v>0</v>
      </c>
      <c r="N49" s="10"/>
      <c r="O49" s="10"/>
      <c r="P49" s="6">
        <f>IFERROR(O49/N49-1,0)</f>
        <v>0</v>
      </c>
    </row>
    <row r="50" spans="7:16">
      <c r="G50" s="10"/>
      <c r="H50" s="10"/>
      <c r="I50" s="10">
        <f>IFERROR(G50*H50,0)</f>
        <v>0</v>
      </c>
      <c r="J50" s="10"/>
      <c r="K50" s="10">
        <f>IFERROR(G50*J50,0)</f>
        <v>0</v>
      </c>
      <c r="L50" s="10">
        <f>K50-I50</f>
        <v>0</v>
      </c>
      <c r="M50" s="6">
        <f>IFERROR(L50/I50,0)</f>
        <v>0</v>
      </c>
      <c r="N50" s="10"/>
      <c r="O50" s="10"/>
      <c r="P50" s="6">
        <f>IFERROR(O50/N50-1,0)</f>
        <v>0</v>
      </c>
    </row>
    <row r="51" spans="7:16">
      <c r="G51" s="10"/>
      <c r="H51" s="10"/>
      <c r="I51" s="10">
        <f>IFERROR(G51*H51,0)</f>
        <v>0</v>
      </c>
      <c r="J51" s="10"/>
      <c r="K51" s="10">
        <f>IFERROR(G51*J51,0)</f>
        <v>0</v>
      </c>
      <c r="L51" s="10">
        <f>K51-I51</f>
        <v>0</v>
      </c>
      <c r="M51" s="6">
        <f>IFERROR(L51/I51,0)</f>
        <v>0</v>
      </c>
      <c r="N51" s="10"/>
      <c r="O51" s="10"/>
      <c r="P51" s="6">
        <f>IFERROR(O51/N51-1,0)</f>
        <v>0</v>
      </c>
    </row>
    <row r="52" spans="7:16">
      <c r="G52" s="10"/>
      <c r="H52" s="10"/>
      <c r="I52" s="10">
        <f>IFERROR(G52*H52,0)</f>
        <v>0</v>
      </c>
      <c r="J52" s="10"/>
      <c r="K52" s="10">
        <f>IFERROR(G52*J52,0)</f>
        <v>0</v>
      </c>
      <c r="L52" s="10">
        <f>K52-I52</f>
        <v>0</v>
      </c>
      <c r="M52" s="6">
        <f>IFERROR(L52/I52,0)</f>
        <v>0</v>
      </c>
      <c r="N52" s="10"/>
      <c r="O52" s="10"/>
      <c r="P52" s="6">
        <f>IFERROR(O52/N52-1,0)</f>
        <v>0</v>
      </c>
    </row>
    <row r="53" spans="7:16">
      <c r="G53" s="10"/>
      <c r="H53" s="10"/>
      <c r="I53" s="10">
        <f>IFERROR(G53*H53,0)</f>
        <v>0</v>
      </c>
      <c r="J53" s="10"/>
      <c r="K53" s="10">
        <f>IFERROR(G53*J53,0)</f>
        <v>0</v>
      </c>
      <c r="L53" s="10">
        <f>K53-I53</f>
        <v>0</v>
      </c>
      <c r="M53" s="6">
        <f>IFERROR(L53/I53,0)</f>
        <v>0</v>
      </c>
      <c r="N53" s="10"/>
      <c r="O53" s="10"/>
      <c r="P53" s="6">
        <f>IFERROR(O53/N53-1,0)</f>
        <v>0</v>
      </c>
    </row>
    <row r="54" spans="7:16">
      <c r="G54" s="10"/>
      <c r="H54" s="10"/>
      <c r="I54" s="10">
        <f>IFERROR(G54*H54,0)</f>
        <v>0</v>
      </c>
      <c r="J54" s="10"/>
      <c r="K54" s="10">
        <f>IFERROR(G54*J54,0)</f>
        <v>0</v>
      </c>
      <c r="L54" s="10">
        <f>K54-I54</f>
        <v>0</v>
      </c>
      <c r="M54" s="6">
        <f>IFERROR(L54/I54,0)</f>
        <v>0</v>
      </c>
      <c r="N54" s="10"/>
      <c r="O54" s="10"/>
      <c r="P54" s="6">
        <f>IFERROR(O54/N54-1,0)</f>
        <v>0</v>
      </c>
    </row>
    <row r="55" spans="7:16">
      <c r="G55" s="10"/>
      <c r="H55" s="10"/>
      <c r="I55" s="10">
        <f>IFERROR(G55*H55,0)</f>
        <v>0</v>
      </c>
      <c r="J55" s="10"/>
      <c r="K55" s="10">
        <f>IFERROR(G55*J55,0)</f>
        <v>0</v>
      </c>
      <c r="L55" s="10">
        <f>K55-I55</f>
        <v>0</v>
      </c>
      <c r="M55" s="6">
        <f>IFERROR(L55/I55,0)</f>
        <v>0</v>
      </c>
      <c r="N55" s="10"/>
      <c r="O55" s="10"/>
      <c r="P55" s="6">
        <f>IFERROR(O55/N55-1,0)</f>
        <v>0</v>
      </c>
    </row>
    <row r="56" spans="7:16">
      <c r="G56" s="10"/>
      <c r="H56" s="10"/>
      <c r="I56" s="10">
        <f>IFERROR(G56*H56,0)</f>
        <v>0</v>
      </c>
      <c r="J56" s="10"/>
      <c r="K56" s="10">
        <f>IFERROR(G56*J56,0)</f>
        <v>0</v>
      </c>
      <c r="L56" s="10">
        <f>K56-I56</f>
        <v>0</v>
      </c>
      <c r="M56" s="6">
        <f>IFERROR(L56/I56,0)</f>
        <v>0</v>
      </c>
      <c r="N56" s="10"/>
      <c r="O56" s="10"/>
      <c r="P56" s="6">
        <f>IFERROR(O56/N56-1,0)</f>
        <v>0</v>
      </c>
    </row>
    <row r="57" spans="7:16">
      <c r="G57" s="10"/>
      <c r="H57" s="10"/>
      <c r="I57" s="10">
        <f>IFERROR(G57*H57,0)</f>
        <v>0</v>
      </c>
      <c r="J57" s="10"/>
      <c r="K57" s="10">
        <f>IFERROR(G57*J57,0)</f>
        <v>0</v>
      </c>
      <c r="L57" s="10">
        <f>K57-I57</f>
        <v>0</v>
      </c>
      <c r="M57" s="6">
        <f>IFERROR(L57/I57,0)</f>
        <v>0</v>
      </c>
      <c r="N57" s="10"/>
      <c r="O57" s="10"/>
      <c r="P57" s="6">
        <f>IFERROR(O57/N57-1,0)</f>
        <v>0</v>
      </c>
    </row>
    <row r="58" spans="7:16">
      <c r="G58" s="10"/>
      <c r="H58" s="10"/>
      <c r="I58" s="10">
        <f>IFERROR(G58*H58,0)</f>
        <v>0</v>
      </c>
      <c r="J58" s="10"/>
      <c r="K58" s="10">
        <f>IFERROR(G58*J58,0)</f>
        <v>0</v>
      </c>
      <c r="L58" s="10">
        <f>K58-I58</f>
        <v>0</v>
      </c>
      <c r="M58" s="6">
        <f>IFERROR(L58/I58,0)</f>
        <v>0</v>
      </c>
      <c r="N58" s="10"/>
      <c r="O58" s="10"/>
      <c r="P58" s="6">
        <f>IFERROR(O58/N58-1,0)</f>
        <v>0</v>
      </c>
    </row>
    <row r="59" spans="7:16">
      <c r="G59" s="10"/>
      <c r="H59" s="10"/>
      <c r="I59" s="10">
        <f>IFERROR(G59*H59,0)</f>
        <v>0</v>
      </c>
      <c r="J59" s="10"/>
      <c r="K59" s="10">
        <f>IFERROR(G59*J59,0)</f>
        <v>0</v>
      </c>
      <c r="L59" s="10">
        <f>K59-I59</f>
        <v>0</v>
      </c>
      <c r="M59" s="6">
        <f>IFERROR(L59/I59,0)</f>
        <v>0</v>
      </c>
      <c r="N59" s="10"/>
      <c r="O59" s="10"/>
      <c r="P59" s="6">
        <f>IFERROR(O59/N59-1,0)</f>
        <v>0</v>
      </c>
    </row>
    <row r="60" spans="7:16">
      <c r="G60" s="10"/>
      <c r="H60" s="10"/>
      <c r="I60" s="10">
        <f>IFERROR(G60*H60,0)</f>
        <v>0</v>
      </c>
      <c r="J60" s="10"/>
      <c r="K60" s="10">
        <f>IFERROR(G60*J60,0)</f>
        <v>0</v>
      </c>
      <c r="L60" s="10">
        <f>K60-I60</f>
        <v>0</v>
      </c>
      <c r="M60" s="6">
        <f>IFERROR(L60/I60,0)</f>
        <v>0</v>
      </c>
      <c r="N60" s="10"/>
      <c r="O60" s="10"/>
      <c r="P60" s="6">
        <f>IFERROR(O60/N60-1,0)</f>
        <v>0</v>
      </c>
    </row>
    <row r="61" spans="7:16">
      <c r="G61" s="10"/>
      <c r="H61" s="10"/>
      <c r="I61" s="10">
        <f>IFERROR(G61*H61,0)</f>
        <v>0</v>
      </c>
      <c r="J61" s="10"/>
      <c r="K61" s="10">
        <f>IFERROR(G61*J61,0)</f>
        <v>0</v>
      </c>
      <c r="L61" s="10">
        <f>K61-I61</f>
        <v>0</v>
      </c>
      <c r="M61" s="6">
        <f>IFERROR(L61/I61,0)</f>
        <v>0</v>
      </c>
      <c r="N61" s="10"/>
      <c r="O61" s="10"/>
      <c r="P61" s="6">
        <f>IFERROR(O61/N61-1,0)</f>
        <v>0</v>
      </c>
    </row>
    <row r="62" spans="7:16">
      <c r="G62" s="10"/>
      <c r="H62" s="10"/>
      <c r="I62" s="10">
        <f>IFERROR(G62*H62,0)</f>
        <v>0</v>
      </c>
      <c r="J62" s="10"/>
      <c r="K62" s="10">
        <f>IFERROR(G62*J62,0)</f>
        <v>0</v>
      </c>
      <c r="L62" s="10">
        <f>K62-I62</f>
        <v>0</v>
      </c>
      <c r="M62" s="6">
        <f>IFERROR(L62/I62,0)</f>
        <v>0</v>
      </c>
      <c r="N62" s="10"/>
      <c r="O62" s="10"/>
      <c r="P62" s="6">
        <f>IFERROR(O62/N62-1,0)</f>
        <v>0</v>
      </c>
    </row>
    <row r="63" spans="7:16">
      <c r="G63" s="10"/>
      <c r="H63" s="10"/>
      <c r="I63" s="10">
        <f>IFERROR(G63*H63,0)</f>
        <v>0</v>
      </c>
      <c r="J63" s="10"/>
      <c r="K63" s="10">
        <f>IFERROR(G63*J63,0)</f>
        <v>0</v>
      </c>
      <c r="L63" s="10">
        <f>K63-I63</f>
        <v>0</v>
      </c>
      <c r="M63" s="6">
        <f>IFERROR(L63/I63,0)</f>
        <v>0</v>
      </c>
      <c r="N63" s="10"/>
      <c r="O63" s="10"/>
      <c r="P63" s="6">
        <f>IFERROR(O63/N63-1,0)</f>
        <v>0</v>
      </c>
    </row>
    <row r="64" spans="7:16">
      <c r="G64" s="10"/>
      <c r="H64" s="10"/>
      <c r="I64" s="10">
        <f>IFERROR(G64*H64,0)</f>
        <v>0</v>
      </c>
      <c r="J64" s="10"/>
      <c r="K64" s="10">
        <f>IFERROR(G64*J64,0)</f>
        <v>0</v>
      </c>
      <c r="L64" s="10">
        <f>K64-I64</f>
        <v>0</v>
      </c>
      <c r="M64" s="6">
        <f>IFERROR(L64/I64,0)</f>
        <v>0</v>
      </c>
      <c r="N64" s="10"/>
      <c r="O64" s="10"/>
      <c r="P64" s="6">
        <f>IFERROR(O64/N64-1,0)</f>
        <v>0</v>
      </c>
    </row>
    <row r="65" spans="7:16">
      <c r="G65" s="10"/>
      <c r="H65" s="10"/>
      <c r="I65" s="10">
        <f>IFERROR(G65*H65,0)</f>
        <v>0</v>
      </c>
      <c r="J65" s="10"/>
      <c r="K65" s="10">
        <f>IFERROR(G65*J65,0)</f>
        <v>0</v>
      </c>
      <c r="L65" s="10">
        <f>K65-I65</f>
        <v>0</v>
      </c>
      <c r="M65" s="6">
        <f>IFERROR(L65/I65,0)</f>
        <v>0</v>
      </c>
      <c r="N65" s="10"/>
      <c r="O65" s="10"/>
      <c r="P65" s="6">
        <f>IFERROR(O65/N65-1,0)</f>
        <v>0</v>
      </c>
    </row>
    <row r="66" spans="7:16">
      <c r="G66" s="10"/>
      <c r="H66" s="10"/>
      <c r="I66" s="10">
        <f>IFERROR(G66*H66,0)</f>
        <v>0</v>
      </c>
      <c r="J66" s="10"/>
      <c r="K66" s="10">
        <f>IFERROR(G66*J66,0)</f>
        <v>0</v>
      </c>
      <c r="L66" s="10">
        <f>K66-I66</f>
        <v>0</v>
      </c>
      <c r="M66" s="6">
        <f>IFERROR(L66/I66,0)</f>
        <v>0</v>
      </c>
      <c r="N66" s="10"/>
      <c r="O66" s="10"/>
      <c r="P66" s="6">
        <f>IFERROR(O66/N66-1,0)</f>
        <v>0</v>
      </c>
    </row>
    <row r="67" spans="7:16">
      <c r="G67" s="10"/>
      <c r="H67" s="10"/>
      <c r="I67" s="10">
        <f>IFERROR(G67*H67,0)</f>
        <v>0</v>
      </c>
      <c r="J67" s="10"/>
      <c r="K67" s="10">
        <f>IFERROR(G67*J67,0)</f>
        <v>0</v>
      </c>
      <c r="L67" s="10">
        <f>K67-I67</f>
        <v>0</v>
      </c>
      <c r="M67" s="6">
        <f>IFERROR(L67/I67,0)</f>
        <v>0</v>
      </c>
      <c r="N67" s="10"/>
      <c r="O67" s="10"/>
      <c r="P67" s="6">
        <f>IFERROR(O67/N67-1,0)</f>
        <v>0</v>
      </c>
    </row>
    <row r="68" spans="7:16">
      <c r="G68" s="10"/>
      <c r="H68" s="10"/>
      <c r="I68" s="10">
        <f>IFERROR(G68*H68,0)</f>
        <v>0</v>
      </c>
      <c r="J68" s="10"/>
      <c r="K68" s="10">
        <f>IFERROR(G68*J68,0)</f>
        <v>0</v>
      </c>
      <c r="L68" s="10">
        <f>K68-I68</f>
        <v>0</v>
      </c>
      <c r="M68" s="6">
        <f>IFERROR(L68/I68,0)</f>
        <v>0</v>
      </c>
      <c r="N68" s="10"/>
      <c r="O68" s="10"/>
      <c r="P68" s="6">
        <f>IFERROR(O68/N68-1,0)</f>
        <v>0</v>
      </c>
    </row>
    <row r="69" spans="7:16">
      <c r="G69" s="10"/>
      <c r="H69" s="10"/>
      <c r="I69" s="10">
        <f>IFERROR(G69*H69,0)</f>
        <v>0</v>
      </c>
      <c r="J69" s="10"/>
      <c r="K69" s="10">
        <f>IFERROR(G69*J69,0)</f>
        <v>0</v>
      </c>
      <c r="L69" s="10">
        <f>K69-I69</f>
        <v>0</v>
      </c>
      <c r="M69" s="6">
        <f>IFERROR(L69/I69,0)</f>
        <v>0</v>
      </c>
      <c r="N69" s="10"/>
      <c r="O69" s="10"/>
      <c r="P69" s="6">
        <f>IFERROR(O69/N69-1,0)</f>
        <v>0</v>
      </c>
    </row>
    <row r="70" spans="7:16">
      <c r="G70" s="10"/>
      <c r="H70" s="10"/>
      <c r="I70" s="10">
        <f>IFERROR(G70*H70,0)</f>
        <v>0</v>
      </c>
      <c r="J70" s="10"/>
      <c r="K70" s="10">
        <f>IFERROR(G70*J70,0)</f>
        <v>0</v>
      </c>
      <c r="L70" s="10">
        <f>K70-I70</f>
        <v>0</v>
      </c>
      <c r="M70" s="6">
        <f>IFERROR(L70/I70,0)</f>
        <v>0</v>
      </c>
      <c r="N70" s="10"/>
      <c r="O70" s="10"/>
      <c r="P70" s="6">
        <f>IFERROR(O70/N70-1,0)</f>
        <v>0</v>
      </c>
    </row>
    <row r="71" spans="7:16">
      <c r="G71" s="10"/>
      <c r="H71" s="10"/>
      <c r="I71" s="10">
        <f>IFERROR(G71*H71,0)</f>
        <v>0</v>
      </c>
      <c r="J71" s="10"/>
      <c r="K71" s="10">
        <f>IFERROR(G71*J71,0)</f>
        <v>0</v>
      </c>
      <c r="L71" s="10">
        <f>K71-I71</f>
        <v>0</v>
      </c>
      <c r="M71" s="6">
        <f>IFERROR(L71/I71,0)</f>
        <v>0</v>
      </c>
      <c r="N71" s="10"/>
      <c r="O71" s="10"/>
      <c r="P71" s="6">
        <f>IFERROR(O71/N71-1,0)</f>
        <v>0</v>
      </c>
    </row>
    <row r="72" spans="7:16">
      <c r="G72" s="10"/>
      <c r="H72" s="10"/>
      <c r="I72" s="10">
        <f>IFERROR(G72*H72,0)</f>
        <v>0</v>
      </c>
      <c r="J72" s="10"/>
      <c r="K72" s="10">
        <f>IFERROR(G72*J72,0)</f>
        <v>0</v>
      </c>
      <c r="L72" s="10">
        <f>K72-I72</f>
        <v>0</v>
      </c>
      <c r="M72" s="6">
        <f>IFERROR(L72/I72,0)</f>
        <v>0</v>
      </c>
      <c r="N72" s="10"/>
      <c r="O72" s="10"/>
      <c r="P72" s="6">
        <f>IFERROR(O72/N72-1,0)</f>
        <v>0</v>
      </c>
    </row>
    <row r="73" spans="7:16">
      <c r="G73" s="10"/>
      <c r="H73" s="10"/>
      <c r="I73" s="10">
        <f>IFERROR(G73*H73,0)</f>
        <v>0</v>
      </c>
      <c r="J73" s="10"/>
      <c r="K73" s="10">
        <f>IFERROR(G73*J73,0)</f>
        <v>0</v>
      </c>
      <c r="L73" s="10">
        <f>K73-I73</f>
        <v>0</v>
      </c>
      <c r="M73" s="6">
        <f>IFERROR(L73/I73,0)</f>
        <v>0</v>
      </c>
      <c r="N73" s="10"/>
      <c r="O73" s="10"/>
      <c r="P73" s="6">
        <f>IFERROR(O73/N73-1,0)</f>
        <v>0</v>
      </c>
    </row>
    <row r="74" spans="7:16">
      <c r="G74" s="10"/>
      <c r="H74" s="10"/>
      <c r="I74" s="10">
        <f>IFERROR(G74*H74,0)</f>
        <v>0</v>
      </c>
      <c r="J74" s="10"/>
      <c r="K74" s="10">
        <f>IFERROR(G74*J74,0)</f>
        <v>0</v>
      </c>
      <c r="L74" s="10">
        <f>K74-I74</f>
        <v>0</v>
      </c>
      <c r="M74" s="6">
        <f>IFERROR(L74/I74,0)</f>
        <v>0</v>
      </c>
      <c r="N74" s="10"/>
      <c r="O74" s="10"/>
      <c r="P74" s="6">
        <f>IFERROR(O74/N74-1,0)</f>
        <v>0</v>
      </c>
    </row>
    <row r="75" spans="7:16">
      <c r="G75" s="10"/>
      <c r="H75" s="10"/>
      <c r="I75" s="10">
        <f>IFERROR(G75*H75,0)</f>
        <v>0</v>
      </c>
      <c r="J75" s="10"/>
      <c r="K75" s="10">
        <f>IFERROR(G75*J75,0)</f>
        <v>0</v>
      </c>
      <c r="L75" s="10">
        <f>K75-I75</f>
        <v>0</v>
      </c>
      <c r="M75" s="6">
        <f>IFERROR(L75/I75,0)</f>
        <v>0</v>
      </c>
      <c r="N75" s="10"/>
      <c r="O75" s="10"/>
      <c r="P75" s="6">
        <f>IFERROR(O75/N75-1,0)</f>
        <v>0</v>
      </c>
    </row>
    <row r="76" spans="7:16">
      <c r="G76" s="10"/>
      <c r="H76" s="10"/>
      <c r="I76" s="10">
        <f>IFERROR(G76*H76,0)</f>
        <v>0</v>
      </c>
      <c r="J76" s="10"/>
      <c r="K76" s="10">
        <f>IFERROR(G76*J76,0)</f>
        <v>0</v>
      </c>
      <c r="L76" s="10">
        <f>K76-I76</f>
        <v>0</v>
      </c>
      <c r="M76" s="6">
        <f>IFERROR(L76/I76,0)</f>
        <v>0</v>
      </c>
      <c r="N76" s="10"/>
      <c r="O76" s="10"/>
      <c r="P76" s="6">
        <f>IFERROR(O76/N76-1,0)</f>
        <v>0</v>
      </c>
    </row>
    <row r="77" spans="7:16">
      <c r="G77" s="10"/>
      <c r="H77" s="10"/>
      <c r="I77" s="10">
        <f>IFERROR(G77*H77,0)</f>
        <v>0</v>
      </c>
      <c r="J77" s="10"/>
      <c r="K77" s="10">
        <f>IFERROR(G77*J77,0)</f>
        <v>0</v>
      </c>
      <c r="L77" s="10">
        <f>K77-I77</f>
        <v>0</v>
      </c>
      <c r="M77" s="6">
        <f>IFERROR(L77/I77,0)</f>
        <v>0</v>
      </c>
      <c r="N77" s="10"/>
      <c r="O77" s="10"/>
      <c r="P77" s="6">
        <f>IFERROR(O77/N77-1,0)</f>
        <v>0</v>
      </c>
    </row>
    <row r="78" spans="7:16">
      <c r="G78" s="10"/>
      <c r="H78" s="10"/>
      <c r="I78" s="10">
        <f>IFERROR(G78*H78,0)</f>
        <v>0</v>
      </c>
      <c r="J78" s="10"/>
      <c r="K78" s="10">
        <f>IFERROR(G78*J78,0)</f>
        <v>0</v>
      </c>
      <c r="L78" s="10">
        <f>K78-I78</f>
        <v>0</v>
      </c>
      <c r="M78" s="6">
        <f>IFERROR(L78/I78,0)</f>
        <v>0</v>
      </c>
      <c r="N78" s="10"/>
      <c r="O78" s="10"/>
      <c r="P78" s="6">
        <f>IFERROR(O78/N78-1,0)</f>
        <v>0</v>
      </c>
    </row>
    <row r="79" spans="7:16">
      <c r="G79" s="10"/>
      <c r="H79" s="10"/>
      <c r="I79" s="10">
        <f>IFERROR(G79*H79,0)</f>
        <v>0</v>
      </c>
      <c r="J79" s="10"/>
      <c r="K79" s="10">
        <f>IFERROR(G79*J79,0)</f>
        <v>0</v>
      </c>
      <c r="L79" s="10">
        <f>K79-I79</f>
        <v>0</v>
      </c>
      <c r="M79" s="6">
        <f>IFERROR(L79/I79,0)</f>
        <v>0</v>
      </c>
      <c r="N79" s="10"/>
      <c r="O79" s="10"/>
      <c r="P79" s="6">
        <f>IFERROR(O79/N79-1,0)</f>
        <v>0</v>
      </c>
    </row>
    <row r="80" spans="7:16">
      <c r="G80" s="10"/>
      <c r="H80" s="10"/>
      <c r="I80" s="10">
        <f>IFERROR(G80*H80,0)</f>
        <v>0</v>
      </c>
      <c r="J80" s="10"/>
      <c r="K80" s="10">
        <f>IFERROR(G80*J80,0)</f>
        <v>0</v>
      </c>
      <c r="L80" s="10">
        <f>K80-I80</f>
        <v>0</v>
      </c>
      <c r="M80" s="6">
        <f>IFERROR(L80/I80,0)</f>
        <v>0</v>
      </c>
      <c r="N80" s="10"/>
      <c r="O80" s="10"/>
      <c r="P80" s="6">
        <f>IFERROR(O80/N80-1,0)</f>
        <v>0</v>
      </c>
    </row>
    <row r="81" spans="7:16">
      <c r="G81" s="10"/>
      <c r="H81" s="10"/>
      <c r="I81" s="10">
        <f>IFERROR(G81*H81,0)</f>
        <v>0</v>
      </c>
      <c r="J81" s="10"/>
      <c r="K81" s="10">
        <f>IFERROR(G81*J81,0)</f>
        <v>0</v>
      </c>
      <c r="L81" s="10">
        <f>K81-I81</f>
        <v>0</v>
      </c>
      <c r="M81" s="6">
        <f>IFERROR(L81/I81,0)</f>
        <v>0</v>
      </c>
      <c r="N81" s="10"/>
      <c r="O81" s="10"/>
      <c r="P81" s="6">
        <f>IFERROR(O81/N81-1,0)</f>
        <v>0</v>
      </c>
    </row>
    <row r="82" spans="7:16">
      <c r="G82" s="10"/>
      <c r="H82" s="10"/>
      <c r="I82" s="10">
        <f>IFERROR(G82*H82,0)</f>
        <v>0</v>
      </c>
      <c r="J82" s="10"/>
      <c r="K82" s="10">
        <f>IFERROR(G82*J82,0)</f>
        <v>0</v>
      </c>
      <c r="L82" s="10">
        <f>K82-I82</f>
        <v>0</v>
      </c>
      <c r="M82" s="6">
        <f>IFERROR(L82/I82,0)</f>
        <v>0</v>
      </c>
      <c r="N82" s="10"/>
      <c r="O82" s="10"/>
      <c r="P82" s="6">
        <f>IFERROR(O82/N82-1,0)</f>
        <v>0</v>
      </c>
    </row>
    <row r="83" spans="7:16">
      <c r="G83" s="10"/>
      <c r="H83" s="10"/>
      <c r="I83" s="10">
        <f>IFERROR(G83*H83,0)</f>
        <v>0</v>
      </c>
      <c r="J83" s="10"/>
      <c r="K83" s="10">
        <f>IFERROR(G83*J83,0)</f>
        <v>0</v>
      </c>
      <c r="L83" s="10">
        <f>K83-I83</f>
        <v>0</v>
      </c>
      <c r="M83" s="6">
        <f>IFERROR(L83/I83,0)</f>
        <v>0</v>
      </c>
      <c r="N83" s="10"/>
      <c r="O83" s="10"/>
      <c r="P83" s="6">
        <f>IFERROR(O83/N83-1,0)</f>
        <v>0</v>
      </c>
    </row>
    <row r="84" spans="7:16">
      <c r="G84" s="10"/>
      <c r="H84" s="10"/>
      <c r="I84" s="10">
        <f>IFERROR(G84*H84,0)</f>
        <v>0</v>
      </c>
      <c r="J84" s="10"/>
      <c r="K84" s="10">
        <f>IFERROR(G84*J84,0)</f>
        <v>0</v>
      </c>
      <c r="L84" s="10">
        <f>K84-I84</f>
        <v>0</v>
      </c>
      <c r="M84" s="6">
        <f>IFERROR(L84/I84,0)</f>
        <v>0</v>
      </c>
      <c r="N84" s="10"/>
      <c r="O84" s="10"/>
      <c r="P84" s="6">
        <f>IFERROR(O84/N84-1,0)</f>
        <v>0</v>
      </c>
    </row>
    <row r="85" spans="7:16">
      <c r="G85" s="10"/>
      <c r="H85" s="10"/>
      <c r="I85" s="10">
        <f>IFERROR(G85*H85,0)</f>
        <v>0</v>
      </c>
      <c r="J85" s="10"/>
      <c r="K85" s="10">
        <f>IFERROR(G85*J85,0)</f>
        <v>0</v>
      </c>
      <c r="L85" s="10">
        <f>K85-I85</f>
        <v>0</v>
      </c>
      <c r="M85" s="6">
        <f>IFERROR(L85/I85,0)</f>
        <v>0</v>
      </c>
      <c r="N85" s="10"/>
      <c r="O85" s="10"/>
      <c r="P85" s="6">
        <f>IFERROR(O85/N85-1,0)</f>
        <v>0</v>
      </c>
    </row>
    <row r="86" spans="7:16">
      <c r="G86" s="10"/>
      <c r="H86" s="10"/>
      <c r="I86" s="10">
        <f>IFERROR(G86*H86,0)</f>
        <v>0</v>
      </c>
      <c r="J86" s="10"/>
      <c r="K86" s="10">
        <f>IFERROR(G86*J86,0)</f>
        <v>0</v>
      </c>
      <c r="L86" s="10">
        <f>K86-I86</f>
        <v>0</v>
      </c>
      <c r="M86" s="6">
        <f>IFERROR(L86/I86,0)</f>
        <v>0</v>
      </c>
      <c r="N86" s="10"/>
      <c r="O86" s="10"/>
      <c r="P86" s="6">
        <f>IFERROR(O86/N86-1,0)</f>
        <v>0</v>
      </c>
    </row>
    <row r="87" spans="7:16">
      <c r="G87" s="10"/>
      <c r="H87" s="10"/>
      <c r="I87" s="10">
        <f>IFERROR(G87*H87,0)</f>
        <v>0</v>
      </c>
      <c r="J87" s="10"/>
      <c r="K87" s="10">
        <f>IFERROR(G87*J87,0)</f>
        <v>0</v>
      </c>
      <c r="L87" s="10">
        <f>K87-I87</f>
        <v>0</v>
      </c>
      <c r="M87" s="6">
        <f>IFERROR(L87/I87,0)</f>
        <v>0</v>
      </c>
      <c r="N87" s="10"/>
      <c r="O87" s="10"/>
      <c r="P87" s="6">
        <f>IFERROR(O87/N87-1,0)</f>
        <v>0</v>
      </c>
    </row>
    <row r="88" spans="7:16">
      <c r="G88" s="10"/>
      <c r="H88" s="10"/>
      <c r="I88" s="10">
        <f>IFERROR(G88*H88,0)</f>
        <v>0</v>
      </c>
      <c r="J88" s="10"/>
      <c r="K88" s="10">
        <f>IFERROR(G88*J88,0)</f>
        <v>0</v>
      </c>
      <c r="L88" s="10">
        <f>K88-I88</f>
        <v>0</v>
      </c>
      <c r="M88" s="6">
        <f>IFERROR(L88/I88,0)</f>
        <v>0</v>
      </c>
      <c r="N88" s="10"/>
      <c r="O88" s="10"/>
      <c r="P88" s="6">
        <f>IFERROR(O88/N88-1,0)</f>
        <v>0</v>
      </c>
    </row>
    <row r="89" spans="7:16">
      <c r="G89" s="10"/>
      <c r="H89" s="10"/>
      <c r="I89" s="10">
        <f>IFERROR(G89*H89,0)</f>
        <v>0</v>
      </c>
      <c r="J89" s="10"/>
      <c r="K89" s="10">
        <f>IFERROR(G89*J89,0)</f>
        <v>0</v>
      </c>
      <c r="L89" s="10">
        <f>K89-I89</f>
        <v>0</v>
      </c>
      <c r="M89" s="6">
        <f>IFERROR(L89/I89,0)</f>
        <v>0</v>
      </c>
      <c r="N89" s="10"/>
      <c r="O89" s="10"/>
      <c r="P89" s="6">
        <f>IFERROR(O89/N89-1,0)</f>
        <v>0</v>
      </c>
    </row>
    <row r="90" spans="7:16">
      <c r="G90" s="10"/>
      <c r="H90" s="10"/>
      <c r="I90" s="10">
        <f>IFERROR(G90*H90,0)</f>
        <v>0</v>
      </c>
      <c r="J90" s="10"/>
      <c r="K90" s="10">
        <f>IFERROR(G90*J90,0)</f>
        <v>0</v>
      </c>
      <c r="L90" s="10">
        <f>K90-I90</f>
        <v>0</v>
      </c>
      <c r="M90" s="6">
        <f>IFERROR(L90/I90,0)</f>
        <v>0</v>
      </c>
      <c r="N90" s="10"/>
      <c r="O90" s="10"/>
      <c r="P90" s="6">
        <f>IFERROR(O90/N90-1,0)</f>
        <v>0</v>
      </c>
    </row>
    <row r="91" spans="7:16">
      <c r="G91" s="10"/>
      <c r="H91" s="10"/>
      <c r="I91" s="10">
        <f>IFERROR(G91*H91,0)</f>
        <v>0</v>
      </c>
      <c r="J91" s="10"/>
      <c r="K91" s="10">
        <f>IFERROR(G91*J91,0)</f>
        <v>0</v>
      </c>
      <c r="L91" s="10">
        <f>K91-I91</f>
        <v>0</v>
      </c>
      <c r="M91" s="6">
        <f>IFERROR(L91/I91,0)</f>
        <v>0</v>
      </c>
      <c r="N91" s="10"/>
      <c r="O91" s="10"/>
      <c r="P91" s="6">
        <f>IFERROR(O91/N91-1,0)</f>
        <v>0</v>
      </c>
    </row>
    <row r="92" spans="7:16">
      <c r="G92" s="10"/>
      <c r="H92" s="10"/>
      <c r="I92" s="10">
        <f>IFERROR(G92*H92,0)</f>
        <v>0</v>
      </c>
      <c r="J92" s="10"/>
      <c r="K92" s="10">
        <f>IFERROR(G92*J92,0)</f>
        <v>0</v>
      </c>
      <c r="L92" s="10">
        <f>K92-I92</f>
        <v>0</v>
      </c>
      <c r="M92" s="6">
        <f>IFERROR(L92/I92,0)</f>
        <v>0</v>
      </c>
      <c r="N92" s="10"/>
      <c r="O92" s="10"/>
      <c r="P92" s="6">
        <f>IFERROR(O92/N92-1,0)</f>
        <v>0</v>
      </c>
    </row>
    <row r="93" spans="7:16">
      <c r="G93" s="10"/>
      <c r="H93" s="10"/>
      <c r="I93" s="10">
        <f>IFERROR(G93*H93,0)</f>
        <v>0</v>
      </c>
      <c r="J93" s="10"/>
      <c r="K93" s="10">
        <f>IFERROR(G93*J93,0)</f>
        <v>0</v>
      </c>
      <c r="L93" s="10">
        <f>K93-I93</f>
        <v>0</v>
      </c>
      <c r="M93" s="6">
        <f>IFERROR(L93/I93,0)</f>
        <v>0</v>
      </c>
      <c r="N93" s="10"/>
      <c r="O93" s="10"/>
      <c r="P93" s="6">
        <f>IFERROR(O93/N93-1,0)</f>
        <v>0</v>
      </c>
    </row>
    <row r="94" spans="7:16">
      <c r="G94" s="10"/>
      <c r="H94" s="10"/>
      <c r="I94" s="10">
        <f>IFERROR(G94*H94,0)</f>
        <v>0</v>
      </c>
      <c r="J94" s="10"/>
      <c r="K94" s="10">
        <f>IFERROR(G94*J94,0)</f>
        <v>0</v>
      </c>
      <c r="L94" s="10">
        <f>K94-I94</f>
        <v>0</v>
      </c>
      <c r="M94" s="6">
        <f>IFERROR(L94/I94,0)</f>
        <v>0</v>
      </c>
      <c r="N94" s="10"/>
      <c r="O94" s="10"/>
      <c r="P94" s="6">
        <f>IFERROR(O94/N94-1,0)</f>
        <v>0</v>
      </c>
    </row>
    <row r="95" spans="7:16">
      <c r="G95" s="10"/>
      <c r="H95" s="10"/>
      <c r="I95" s="10">
        <f>IFERROR(G95*H95,0)</f>
        <v>0</v>
      </c>
      <c r="J95" s="10"/>
      <c r="K95" s="10">
        <f>IFERROR(G95*J95,0)</f>
        <v>0</v>
      </c>
      <c r="L95" s="10">
        <f>K95-I95</f>
        <v>0</v>
      </c>
      <c r="M95" s="6">
        <f>IFERROR(L95/I95,0)</f>
        <v>0</v>
      </c>
      <c r="N95" s="10"/>
      <c r="O95" s="10"/>
      <c r="P95" s="6">
        <f>IFERROR(O95/N95-1,0)</f>
        <v>0</v>
      </c>
    </row>
    <row r="96" spans="7:16">
      <c r="G96" s="10"/>
      <c r="H96" s="10"/>
      <c r="I96" s="10">
        <f>IFERROR(G96*H96,0)</f>
        <v>0</v>
      </c>
      <c r="J96" s="10"/>
      <c r="K96" s="10">
        <f>IFERROR(G96*J96,0)</f>
        <v>0</v>
      </c>
      <c r="L96" s="10">
        <f>K96-I96</f>
        <v>0</v>
      </c>
      <c r="M96" s="6">
        <f>IFERROR(L96/I96,0)</f>
        <v>0</v>
      </c>
      <c r="N96" s="10"/>
      <c r="O96" s="10"/>
      <c r="P96" s="6">
        <f>IFERROR(O96/N96-1,0)</f>
        <v>0</v>
      </c>
    </row>
    <row r="97" spans="7:16">
      <c r="G97" s="10"/>
      <c r="H97" s="10"/>
      <c r="I97" s="10">
        <f>IFERROR(G97*H97,0)</f>
        <v>0</v>
      </c>
      <c r="J97" s="10"/>
      <c r="K97" s="10">
        <f>IFERROR(G97*J97,0)</f>
        <v>0</v>
      </c>
      <c r="L97" s="10">
        <f>K97-I97</f>
        <v>0</v>
      </c>
      <c r="M97" s="6">
        <f>IFERROR(L97/I97,0)</f>
        <v>0</v>
      </c>
      <c r="N97" s="10"/>
      <c r="O97" s="10"/>
      <c r="P97" s="6">
        <f>IFERROR(O97/N97-1,0)</f>
        <v>0</v>
      </c>
    </row>
    <row r="98" spans="7:16">
      <c r="G98" s="10"/>
      <c r="H98" s="10"/>
      <c r="I98" s="10">
        <f>IFERROR(G98*H98,0)</f>
        <v>0</v>
      </c>
      <c r="J98" s="10"/>
      <c r="K98" s="10">
        <f>IFERROR(G98*J98,0)</f>
        <v>0</v>
      </c>
      <c r="L98" s="10">
        <f>K98-I98</f>
        <v>0</v>
      </c>
      <c r="M98" s="6">
        <f>IFERROR(L98/I98,0)</f>
        <v>0</v>
      </c>
      <c r="N98" s="10"/>
      <c r="O98" s="10"/>
      <c r="P98" s="6">
        <f>IFERROR(O98/N98-1,0)</f>
        <v>0</v>
      </c>
    </row>
    <row r="99" spans="7:16">
      <c r="G99" s="10"/>
      <c r="H99" s="10"/>
      <c r="I99" s="10">
        <f>IFERROR(G99*H99,0)</f>
        <v>0</v>
      </c>
      <c r="J99" s="10"/>
      <c r="K99" s="10">
        <f>IFERROR(G99*J99,0)</f>
        <v>0</v>
      </c>
      <c r="L99" s="10">
        <f>K99-I99</f>
        <v>0</v>
      </c>
      <c r="M99" s="6">
        <f>IFERROR(L99/I99,0)</f>
        <v>0</v>
      </c>
      <c r="N99" s="10"/>
      <c r="O99" s="10"/>
      <c r="P99" s="6">
        <f>IFERROR(O99/N99-1,0)</f>
        <v>0</v>
      </c>
    </row>
    <row r="100" spans="7:16">
      <c r="G100" s="10"/>
      <c r="H100" s="10"/>
      <c r="I100" s="10">
        <f>IFERROR(G100*H100,0)</f>
        <v>0</v>
      </c>
      <c r="J100" s="10"/>
      <c r="K100" s="10">
        <f>IFERROR(G100*J100,0)</f>
        <v>0</v>
      </c>
      <c r="L100" s="10">
        <f>K100-I100</f>
        <v>0</v>
      </c>
      <c r="M100" s="6">
        <f>IFERROR(L100/I100,0)</f>
        <v>0</v>
      </c>
      <c r="N100" s="10"/>
      <c r="O100" s="10"/>
      <c r="P100" s="6">
        <f>IFERROR(O100/N100-1,0)</f>
        <v>0</v>
      </c>
    </row>
    <row r="101" spans="7:16">
      <c r="G101" s="10"/>
      <c r="H101" s="10"/>
      <c r="I101" s="10">
        <f>IFERROR(G101*H101,0)</f>
        <v>0</v>
      </c>
      <c r="J101" s="10"/>
      <c r="K101" s="10">
        <f>IFERROR(G101*J101,0)</f>
        <v>0</v>
      </c>
      <c r="L101" s="10">
        <f>K101-I101</f>
        <v>0</v>
      </c>
      <c r="M101" s="6">
        <f>IFERROR(L101/I101,0)</f>
        <v>0</v>
      </c>
      <c r="N101" s="10"/>
      <c r="O101" s="10"/>
      <c r="P101" s="6">
        <f>IFERROR(O101/N101-1,0)</f>
        <v>0</v>
      </c>
    </row>
    <row r="102" spans="7:16">
      <c r="G102" s="10"/>
      <c r="H102" s="10"/>
      <c r="I102" s="10">
        <f>IFERROR(G102*H102,0)</f>
        <v>0</v>
      </c>
      <c r="J102" s="10"/>
      <c r="K102" s="10">
        <f>IFERROR(G102*J102,0)</f>
        <v>0</v>
      </c>
      <c r="L102" s="10">
        <f>K102-I102</f>
        <v>0</v>
      </c>
      <c r="M102" s="6">
        <f>IFERROR(L102/I102,0)</f>
        <v>0</v>
      </c>
      <c r="N102" s="10"/>
      <c r="O102" s="10"/>
      <c r="P102" s="6">
        <f>IFERROR(O102/N102-1,0)</f>
        <v>0</v>
      </c>
    </row>
    <row r="103" spans="7:16">
      <c r="G103" s="10"/>
      <c r="H103" s="10"/>
      <c r="I103" s="10">
        <f>IFERROR(G103*H103,0)</f>
        <v>0</v>
      </c>
      <c r="J103" s="10"/>
      <c r="K103" s="10">
        <f>IFERROR(G103*J103,0)</f>
        <v>0</v>
      </c>
      <c r="L103" s="10">
        <f>K103-I103</f>
        <v>0</v>
      </c>
      <c r="M103" s="6">
        <f>IFERROR(L103/I103,0)</f>
        <v>0</v>
      </c>
      <c r="N103" s="10"/>
      <c r="O103" s="10"/>
      <c r="P103" s="6">
        <f>IFERROR(O103/N103-1,0)</f>
        <v>0</v>
      </c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zoomScaleNormal="100" zoomScaleSheetLayoutView="100" workbookViewId="0"/>
  </sheetViews>
  <sheetFormatPr defaultRowHeight="15"/>
  <cols>
    <col min="1" max="4" width="18" customWidth="1"/>
    <col min="6" max="6" width="42" customWidth="1"/>
  </cols>
  <sheetData>
    <row r="1" spans="1:6">
      <c r="A1" s="1" t="s">
        <v>1</v>
      </c>
      <c r="B1" s="1" t="s">
        <v>3</v>
      </c>
      <c r="C1" s="1" t="s">
        <v>68</v>
      </c>
      <c r="D1" s="1" t="s">
        <v>5</v>
      </c>
      <c r="F1" s="1" t="s">
        <v>69</v>
      </c>
    </row>
    <row r="2" spans="1:6">
      <c r="A2" t="s">
        <v>15</v>
      </c>
      <c r="B2" t="s">
        <v>17</v>
      </c>
      <c r="C2" t="s">
        <v>16</v>
      </c>
      <c r="D2" t="s">
        <v>19</v>
      </c>
      <c r="F2" t="s">
        <v>70</v>
      </c>
    </row>
    <row r="3" spans="1:6">
      <c r="A3" t="s">
        <v>23</v>
      </c>
      <c r="B3" t="s">
        <v>71</v>
      </c>
      <c r="C3" t="s">
        <v>20</v>
      </c>
      <c r="D3" t="s">
        <v>22</v>
      </c>
      <c r="F3" t="s">
        <v>72</v>
      </c>
    </row>
    <row r="4" spans="1:6">
      <c r="A4" t="s">
        <v>26</v>
      </c>
      <c r="B4" t="s">
        <v>73</v>
      </c>
      <c r="D4" t="s">
        <v>74</v>
      </c>
      <c r="F4" t="s">
        <v>75</v>
      </c>
    </row>
    <row r="5" spans="1:6">
      <c r="A5" t="s">
        <v>29</v>
      </c>
      <c r="B5" t="s">
        <v>76</v>
      </c>
      <c r="D5" t="s">
        <v>77</v>
      </c>
      <c r="F5" t="s">
        <v>78</v>
      </c>
    </row>
    <row r="6" spans="1:6">
      <c r="A6" t="s">
        <v>32</v>
      </c>
      <c r="B6" t="s">
        <v>79</v>
      </c>
      <c r="D6" t="s">
        <v>80</v>
      </c>
      <c r="F6" t="s">
        <v>81</v>
      </c>
    </row>
    <row r="7" spans="1:6">
      <c r="A7" t="s">
        <v>35</v>
      </c>
      <c r="B7" t="s">
        <v>82</v>
      </c>
      <c r="D7" t="s">
        <v>83</v>
      </c>
    </row>
    <row r="8" spans="1:6">
      <c r="A8" t="s">
        <v>38</v>
      </c>
      <c r="B8" t="s">
        <v>83</v>
      </c>
    </row>
    <row r="9" spans="1:6">
      <c r="A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이승희/책임/정보보호가시화팀</dc:creator>
  <cp:keywords/>
  <dc:description/>
  <cp:lastModifiedBy/>
  <cp:revision/>
  <dcterms:created xsi:type="dcterms:W3CDTF">2026-10-14T00:11:25Z</dcterms:created>
  <dcterms:modified xsi:type="dcterms:W3CDTF">2026-10-14T00:54:01Z</dcterms:modified>
  <cp:category/>
  <cp:contentStatus/>
</cp:coreProperties>
</file>