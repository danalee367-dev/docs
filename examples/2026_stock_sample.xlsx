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20/02/relationships/classificationlabels" Target="docMetadata/LabelInfo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10"/>
  <workbookPr showInkAnnotation="0" autoCompressPictures="0"/>
  <xr:revisionPtr revIDLastSave="0" documentId="8_{943E0948-B9C8-412D-A985-270B4937AA84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포트폴리오 현황" sheetId="1" r:id="rId1"/>
    <sheet name="월별 계좌 성과" sheetId="2" r:id="rId2"/>
    <sheet name="종목별 보유현황" sheetId="3" r:id="rId3"/>
    <sheet name="설정" sheetId="4" r:id="rId4"/>
  </sheets>
  <calcPr calcId="191028" refMode="R1C1" iterateCount="0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103" i="3" l="1"/>
  <c r="K103" i="3"/>
  <c r="I103" i="3"/>
  <c r="P102" i="3"/>
  <c r="K102" i="3"/>
  <c r="I102" i="3"/>
  <c r="P101" i="3"/>
  <c r="K101" i="3"/>
  <c r="I101" i="3"/>
  <c r="P100" i="3"/>
  <c r="K100" i="3"/>
  <c r="I100" i="3"/>
  <c r="P99" i="3"/>
  <c r="K99" i="3"/>
  <c r="I99" i="3"/>
  <c r="P98" i="3"/>
  <c r="K98" i="3"/>
  <c r="I98" i="3"/>
  <c r="P97" i="3"/>
  <c r="K97" i="3"/>
  <c r="I97" i="3"/>
  <c r="P96" i="3"/>
  <c r="K96" i="3"/>
  <c r="I96" i="3"/>
  <c r="P95" i="3"/>
  <c r="K95" i="3"/>
  <c r="I95" i="3"/>
  <c r="P94" i="3"/>
  <c r="K94" i="3"/>
  <c r="I94" i="3"/>
  <c r="P93" i="3"/>
  <c r="K93" i="3"/>
  <c r="I93" i="3"/>
  <c r="P92" i="3"/>
  <c r="K92" i="3"/>
  <c r="I92" i="3"/>
  <c r="P91" i="3"/>
  <c r="K91" i="3"/>
  <c r="I91" i="3"/>
  <c r="P90" i="3"/>
  <c r="K90" i="3"/>
  <c r="I90" i="3"/>
  <c r="P89" i="3"/>
  <c r="K89" i="3"/>
  <c r="I89" i="3"/>
  <c r="P88" i="3"/>
  <c r="K88" i="3"/>
  <c r="I88" i="3"/>
  <c r="P87" i="3"/>
  <c r="K87" i="3"/>
  <c r="I87" i="3"/>
  <c r="P86" i="3"/>
  <c r="K86" i="3"/>
  <c r="I86" i="3"/>
  <c r="P85" i="3"/>
  <c r="K85" i="3"/>
  <c r="I85" i="3"/>
  <c r="P84" i="3"/>
  <c r="K84" i="3"/>
  <c r="I84" i="3"/>
  <c r="P83" i="3"/>
  <c r="K83" i="3"/>
  <c r="I83" i="3"/>
  <c r="P82" i="3"/>
  <c r="K82" i="3"/>
  <c r="I82" i="3"/>
  <c r="P81" i="3"/>
  <c r="K81" i="3"/>
  <c r="I81" i="3"/>
  <c r="P80" i="3"/>
  <c r="K80" i="3"/>
  <c r="I80" i="3"/>
  <c r="P79" i="3"/>
  <c r="K79" i="3"/>
  <c r="I79" i="3"/>
  <c r="P78" i="3"/>
  <c r="K78" i="3"/>
  <c r="I78" i="3"/>
  <c r="P77" i="3"/>
  <c r="K77" i="3"/>
  <c r="I77" i="3"/>
  <c r="P76" i="3"/>
  <c r="K76" i="3"/>
  <c r="I76" i="3"/>
  <c r="P75" i="3"/>
  <c r="K75" i="3"/>
  <c r="I75" i="3"/>
  <c r="P74" i="3"/>
  <c r="K74" i="3"/>
  <c r="I74" i="3"/>
  <c r="P73" i="3"/>
  <c r="K73" i="3"/>
  <c r="I73" i="3"/>
  <c r="P72" i="3"/>
  <c r="K72" i="3"/>
  <c r="I72" i="3"/>
  <c r="P71" i="3"/>
  <c r="K71" i="3"/>
  <c r="I71" i="3"/>
  <c r="P70" i="3"/>
  <c r="K70" i="3"/>
  <c r="I70" i="3"/>
  <c r="P69" i="3"/>
  <c r="K69" i="3"/>
  <c r="I69" i="3"/>
  <c r="P68" i="3"/>
  <c r="K68" i="3"/>
  <c r="I68" i="3"/>
  <c r="P67" i="3"/>
  <c r="K67" i="3"/>
  <c r="I67" i="3"/>
  <c r="P66" i="3"/>
  <c r="K66" i="3"/>
  <c r="I66" i="3"/>
  <c r="P65" i="3"/>
  <c r="K65" i="3"/>
  <c r="I65" i="3"/>
  <c r="P64" i="3"/>
  <c r="K64" i="3"/>
  <c r="I64" i="3"/>
  <c r="P63" i="3"/>
  <c r="K63" i="3"/>
  <c r="I63" i="3"/>
  <c r="P62" i="3"/>
  <c r="K62" i="3"/>
  <c r="I62" i="3"/>
  <c r="P61" i="3"/>
  <c r="K61" i="3"/>
  <c r="I61" i="3"/>
  <c r="P60" i="3"/>
  <c r="K60" i="3"/>
  <c r="I60" i="3"/>
  <c r="P59" i="3"/>
  <c r="K59" i="3"/>
  <c r="I59" i="3"/>
  <c r="P58" i="3"/>
  <c r="K58" i="3"/>
  <c r="I58" i="3"/>
  <c r="P57" i="3"/>
  <c r="K57" i="3"/>
  <c r="I57" i="3"/>
  <c r="P56" i="3"/>
  <c r="K56" i="3"/>
  <c r="I56" i="3"/>
  <c r="P55" i="3"/>
  <c r="K55" i="3"/>
  <c r="I55" i="3"/>
  <c r="P54" i="3"/>
  <c r="K54" i="3"/>
  <c r="I54" i="3"/>
  <c r="P53" i="3"/>
  <c r="K53" i="3"/>
  <c r="I53" i="3"/>
  <c r="P52" i="3"/>
  <c r="K52" i="3"/>
  <c r="I52" i="3"/>
  <c r="P51" i="3"/>
  <c r="K51" i="3"/>
  <c r="I51" i="3"/>
  <c r="P50" i="3"/>
  <c r="K50" i="3"/>
  <c r="I50" i="3"/>
  <c r="P49" i="3"/>
  <c r="K49" i="3"/>
  <c r="I49" i="3"/>
  <c r="P48" i="3"/>
  <c r="K48" i="3"/>
  <c r="I48" i="3"/>
  <c r="P47" i="3"/>
  <c r="K47" i="3"/>
  <c r="I47" i="3"/>
  <c r="P46" i="3"/>
  <c r="K46" i="3"/>
  <c r="I46" i="3"/>
  <c r="P45" i="3"/>
  <c r="K45" i="3"/>
  <c r="I45" i="3"/>
  <c r="P44" i="3"/>
  <c r="K44" i="3"/>
  <c r="I44" i="3"/>
  <c r="P43" i="3"/>
  <c r="K43" i="3"/>
  <c r="I43" i="3"/>
  <c r="P42" i="3"/>
  <c r="K42" i="3"/>
  <c r="I42" i="3"/>
  <c r="P41" i="3"/>
  <c r="K41" i="3"/>
  <c r="I41" i="3"/>
  <c r="P40" i="3"/>
  <c r="K40" i="3"/>
  <c r="I40" i="3"/>
  <c r="P39" i="3"/>
  <c r="K39" i="3"/>
  <c r="I39" i="3"/>
  <c r="P38" i="3"/>
  <c r="K38" i="3"/>
  <c r="I38" i="3"/>
  <c r="P37" i="3"/>
  <c r="K37" i="3"/>
  <c r="I37" i="3"/>
  <c r="P36" i="3"/>
  <c r="K36" i="3"/>
  <c r="I36" i="3"/>
  <c r="P35" i="3"/>
  <c r="K35" i="3"/>
  <c r="I35" i="3"/>
  <c r="P34" i="3"/>
  <c r="K34" i="3"/>
  <c r="I34" i="3"/>
  <c r="P33" i="3"/>
  <c r="K33" i="3"/>
  <c r="I33" i="3"/>
  <c r="P32" i="3"/>
  <c r="K32" i="3"/>
  <c r="I32" i="3"/>
  <c r="P31" i="3"/>
  <c r="K31" i="3"/>
  <c r="I31" i="3"/>
  <c r="P30" i="3"/>
  <c r="K30" i="3"/>
  <c r="I30" i="3"/>
  <c r="P29" i="3"/>
  <c r="K29" i="3"/>
  <c r="I29" i="3"/>
  <c r="P28" i="3"/>
  <c r="K28" i="3"/>
  <c r="I28" i="3"/>
  <c r="P27" i="3"/>
  <c r="K27" i="3"/>
  <c r="I27" i="3"/>
  <c r="P26" i="3"/>
  <c r="K26" i="3"/>
  <c r="I26" i="3"/>
  <c r="P25" i="3"/>
  <c r="K25" i="3"/>
  <c r="I25" i="3"/>
  <c r="P24" i="3"/>
  <c r="K24" i="3"/>
  <c r="I24" i="3"/>
  <c r="P23" i="3"/>
  <c r="K23" i="3"/>
  <c r="I23" i="3"/>
  <c r="P22" i="3"/>
  <c r="K22" i="3"/>
  <c r="I22" i="3"/>
  <c r="P21" i="3"/>
  <c r="K21" i="3"/>
  <c r="I21" i="3"/>
  <c r="P20" i="3"/>
  <c r="K20" i="3"/>
  <c r="I20" i="3"/>
  <c r="P19" i="3"/>
  <c r="K19" i="3"/>
  <c r="I19" i="3"/>
  <c r="P18" i="3"/>
  <c r="K18" i="3"/>
  <c r="I18" i="3"/>
  <c r="P17" i="3"/>
  <c r="K17" i="3"/>
  <c r="I17" i="3"/>
  <c r="P16" i="3"/>
  <c r="K16" i="3"/>
  <c r="I16" i="3"/>
  <c r="P15" i="3"/>
  <c r="K15" i="3"/>
  <c r="I15" i="3"/>
  <c r="P14" i="3"/>
  <c r="K14" i="3"/>
  <c r="I14" i="3"/>
  <c r="P13" i="3"/>
  <c r="K13" i="3"/>
  <c r="I13" i="3"/>
  <c r="P12" i="3"/>
  <c r="K12" i="3"/>
  <c r="I12" i="3"/>
  <c r="P11" i="3"/>
  <c r="K11" i="3"/>
  <c r="I11" i="3"/>
  <c r="P10" i="3"/>
  <c r="K10" i="3"/>
  <c r="I10" i="3"/>
  <c r="P9" i="3"/>
  <c r="K9" i="3"/>
  <c r="I9" i="3"/>
  <c r="P8" i="3"/>
  <c r="K8" i="3"/>
  <c r="I8" i="3"/>
  <c r="P7" i="3"/>
  <c r="K7" i="3"/>
  <c r="I7" i="3"/>
  <c r="P6" i="3"/>
  <c r="K6" i="3"/>
  <c r="I6" i="3"/>
  <c r="P5" i="3"/>
  <c r="K5" i="3"/>
  <c r="I5" i="3"/>
  <c r="P4" i="3"/>
  <c r="K4" i="3"/>
  <c r="I4" i="3"/>
  <c r="M381" i="2"/>
  <c r="J381" i="2"/>
  <c r="K381" i="2" s="1"/>
  <c r="M380" i="2"/>
  <c r="J380" i="2"/>
  <c r="K380" i="2" s="1"/>
  <c r="M379" i="2"/>
  <c r="J379" i="2"/>
  <c r="K379" i="2" s="1"/>
  <c r="M378" i="2"/>
  <c r="J378" i="2"/>
  <c r="K378" i="2" s="1"/>
  <c r="M377" i="2"/>
  <c r="J377" i="2"/>
  <c r="K377" i="2" s="1"/>
  <c r="M376" i="2"/>
  <c r="J376" i="2"/>
  <c r="K376" i="2" s="1"/>
  <c r="M375" i="2"/>
  <c r="J375" i="2"/>
  <c r="K375" i="2" s="1"/>
  <c r="M374" i="2"/>
  <c r="J374" i="2"/>
  <c r="K374" i="2" s="1"/>
  <c r="M373" i="2"/>
  <c r="J373" i="2"/>
  <c r="K373" i="2" s="1"/>
  <c r="M372" i="2"/>
  <c r="J372" i="2"/>
  <c r="K372" i="2" s="1"/>
  <c r="M371" i="2"/>
  <c r="J371" i="2"/>
  <c r="K371" i="2" s="1"/>
  <c r="M370" i="2"/>
  <c r="J370" i="2"/>
  <c r="K370" i="2" s="1"/>
  <c r="M369" i="2"/>
  <c r="J369" i="2"/>
  <c r="K369" i="2" s="1"/>
  <c r="M368" i="2"/>
  <c r="J368" i="2"/>
  <c r="K368" i="2" s="1"/>
  <c r="M367" i="2"/>
  <c r="J367" i="2"/>
  <c r="K367" i="2" s="1"/>
  <c r="M366" i="2"/>
  <c r="J366" i="2"/>
  <c r="K366" i="2" s="1"/>
  <c r="M365" i="2"/>
  <c r="J365" i="2"/>
  <c r="K365" i="2" s="1"/>
  <c r="M364" i="2"/>
  <c r="J364" i="2"/>
  <c r="K364" i="2" s="1"/>
  <c r="M363" i="2"/>
  <c r="J363" i="2"/>
  <c r="K363" i="2" s="1"/>
  <c r="M362" i="2"/>
  <c r="J362" i="2"/>
  <c r="K362" i="2" s="1"/>
  <c r="M361" i="2"/>
  <c r="J361" i="2"/>
  <c r="K361" i="2" s="1"/>
  <c r="M360" i="2"/>
  <c r="J360" i="2"/>
  <c r="K360" i="2" s="1"/>
  <c r="M359" i="2"/>
  <c r="J359" i="2"/>
  <c r="K359" i="2" s="1"/>
  <c r="M358" i="2"/>
  <c r="J358" i="2"/>
  <c r="K358" i="2" s="1"/>
  <c r="M357" i="2"/>
  <c r="J357" i="2"/>
  <c r="K357" i="2" s="1"/>
  <c r="M356" i="2"/>
  <c r="J356" i="2"/>
  <c r="K356" i="2" s="1"/>
  <c r="M355" i="2"/>
  <c r="J355" i="2"/>
  <c r="K355" i="2" s="1"/>
  <c r="M354" i="2"/>
  <c r="J354" i="2"/>
  <c r="K354" i="2" s="1"/>
  <c r="M353" i="2"/>
  <c r="J353" i="2"/>
  <c r="K353" i="2" s="1"/>
  <c r="M352" i="2"/>
  <c r="J352" i="2"/>
  <c r="K352" i="2" s="1"/>
  <c r="M351" i="2"/>
  <c r="J351" i="2"/>
  <c r="K351" i="2" s="1"/>
  <c r="M350" i="2"/>
  <c r="J350" i="2"/>
  <c r="K350" i="2" s="1"/>
  <c r="M349" i="2"/>
  <c r="J349" i="2"/>
  <c r="K349" i="2" s="1"/>
  <c r="M348" i="2"/>
  <c r="J348" i="2"/>
  <c r="K348" i="2" s="1"/>
  <c r="M347" i="2"/>
  <c r="J347" i="2"/>
  <c r="K347" i="2" s="1"/>
  <c r="M346" i="2"/>
  <c r="J346" i="2"/>
  <c r="K346" i="2" s="1"/>
  <c r="M345" i="2"/>
  <c r="J345" i="2"/>
  <c r="K345" i="2" s="1"/>
  <c r="M344" i="2"/>
  <c r="J344" i="2"/>
  <c r="K344" i="2" s="1"/>
  <c r="M343" i="2"/>
  <c r="J343" i="2"/>
  <c r="K343" i="2" s="1"/>
  <c r="M342" i="2"/>
  <c r="J342" i="2"/>
  <c r="K342" i="2" s="1"/>
  <c r="M341" i="2"/>
  <c r="J341" i="2"/>
  <c r="K341" i="2" s="1"/>
  <c r="M340" i="2"/>
  <c r="J340" i="2"/>
  <c r="K340" i="2" s="1"/>
  <c r="M339" i="2"/>
  <c r="J339" i="2"/>
  <c r="K339" i="2" s="1"/>
  <c r="M338" i="2"/>
  <c r="J338" i="2"/>
  <c r="K338" i="2" s="1"/>
  <c r="M337" i="2"/>
  <c r="J337" i="2"/>
  <c r="K337" i="2" s="1"/>
  <c r="M336" i="2"/>
  <c r="J336" i="2"/>
  <c r="K336" i="2" s="1"/>
  <c r="M335" i="2"/>
  <c r="J335" i="2"/>
  <c r="K335" i="2" s="1"/>
  <c r="M334" i="2"/>
  <c r="J334" i="2"/>
  <c r="K334" i="2" s="1"/>
  <c r="M333" i="2"/>
  <c r="J333" i="2"/>
  <c r="K333" i="2" s="1"/>
  <c r="M332" i="2"/>
  <c r="J332" i="2"/>
  <c r="K332" i="2" s="1"/>
  <c r="M331" i="2"/>
  <c r="J331" i="2"/>
  <c r="K331" i="2" s="1"/>
  <c r="M330" i="2"/>
  <c r="J330" i="2"/>
  <c r="K330" i="2" s="1"/>
  <c r="M329" i="2"/>
  <c r="J329" i="2"/>
  <c r="K329" i="2" s="1"/>
  <c r="M328" i="2"/>
  <c r="J328" i="2"/>
  <c r="K328" i="2" s="1"/>
  <c r="M327" i="2"/>
  <c r="J327" i="2"/>
  <c r="K327" i="2" s="1"/>
  <c r="M326" i="2"/>
  <c r="J326" i="2"/>
  <c r="K326" i="2" s="1"/>
  <c r="M325" i="2"/>
  <c r="J325" i="2"/>
  <c r="K325" i="2" s="1"/>
  <c r="M324" i="2"/>
  <c r="J324" i="2"/>
  <c r="K324" i="2" s="1"/>
  <c r="M323" i="2"/>
  <c r="J323" i="2"/>
  <c r="K323" i="2" s="1"/>
  <c r="M322" i="2"/>
  <c r="J322" i="2"/>
  <c r="K322" i="2" s="1"/>
  <c r="M321" i="2"/>
  <c r="J321" i="2"/>
  <c r="K321" i="2" s="1"/>
  <c r="M320" i="2"/>
  <c r="J320" i="2"/>
  <c r="K320" i="2" s="1"/>
  <c r="M319" i="2"/>
  <c r="J319" i="2"/>
  <c r="K319" i="2" s="1"/>
  <c r="M318" i="2"/>
  <c r="J318" i="2"/>
  <c r="K318" i="2" s="1"/>
  <c r="M317" i="2"/>
  <c r="J317" i="2"/>
  <c r="K317" i="2" s="1"/>
  <c r="M316" i="2"/>
  <c r="J316" i="2"/>
  <c r="K316" i="2" s="1"/>
  <c r="M315" i="2"/>
  <c r="J315" i="2"/>
  <c r="K315" i="2" s="1"/>
  <c r="M314" i="2"/>
  <c r="J314" i="2"/>
  <c r="K314" i="2" s="1"/>
  <c r="M313" i="2"/>
  <c r="J313" i="2"/>
  <c r="K313" i="2" s="1"/>
  <c r="M312" i="2"/>
  <c r="J312" i="2"/>
  <c r="K312" i="2" s="1"/>
  <c r="M311" i="2"/>
  <c r="J311" i="2"/>
  <c r="K311" i="2" s="1"/>
  <c r="M310" i="2"/>
  <c r="J310" i="2"/>
  <c r="K310" i="2" s="1"/>
  <c r="M309" i="2"/>
  <c r="J309" i="2"/>
  <c r="K309" i="2" s="1"/>
  <c r="M308" i="2"/>
  <c r="J308" i="2"/>
  <c r="K308" i="2" s="1"/>
  <c r="M307" i="2"/>
  <c r="J307" i="2"/>
  <c r="K307" i="2" s="1"/>
  <c r="M306" i="2"/>
  <c r="J306" i="2"/>
  <c r="K306" i="2" s="1"/>
  <c r="M305" i="2"/>
  <c r="J305" i="2"/>
  <c r="K305" i="2" s="1"/>
  <c r="M304" i="2"/>
  <c r="J304" i="2"/>
  <c r="K304" i="2" s="1"/>
  <c r="M303" i="2"/>
  <c r="J303" i="2"/>
  <c r="K303" i="2" s="1"/>
  <c r="M302" i="2"/>
  <c r="J302" i="2"/>
  <c r="K302" i="2" s="1"/>
  <c r="M301" i="2"/>
  <c r="J301" i="2"/>
  <c r="K301" i="2" s="1"/>
  <c r="M300" i="2"/>
  <c r="J300" i="2"/>
  <c r="K300" i="2" s="1"/>
  <c r="M299" i="2"/>
  <c r="J299" i="2"/>
  <c r="K299" i="2" s="1"/>
  <c r="M298" i="2"/>
  <c r="J298" i="2"/>
  <c r="K298" i="2" s="1"/>
  <c r="M297" i="2"/>
  <c r="J297" i="2"/>
  <c r="K297" i="2" s="1"/>
  <c r="M296" i="2"/>
  <c r="J296" i="2"/>
  <c r="K296" i="2" s="1"/>
  <c r="M295" i="2"/>
  <c r="J295" i="2"/>
  <c r="K295" i="2" s="1"/>
  <c r="M294" i="2"/>
  <c r="J294" i="2"/>
  <c r="K294" i="2" s="1"/>
  <c r="M293" i="2"/>
  <c r="J293" i="2"/>
  <c r="K293" i="2" s="1"/>
  <c r="M292" i="2"/>
  <c r="J292" i="2"/>
  <c r="K292" i="2" s="1"/>
  <c r="M291" i="2"/>
  <c r="J291" i="2"/>
  <c r="K291" i="2" s="1"/>
  <c r="M290" i="2"/>
  <c r="J290" i="2"/>
  <c r="K290" i="2" s="1"/>
  <c r="M289" i="2"/>
  <c r="J289" i="2"/>
  <c r="K289" i="2" s="1"/>
  <c r="M288" i="2"/>
  <c r="J288" i="2"/>
  <c r="K288" i="2" s="1"/>
  <c r="M287" i="2"/>
  <c r="J287" i="2"/>
  <c r="K287" i="2" s="1"/>
  <c r="M286" i="2"/>
  <c r="J286" i="2"/>
  <c r="K286" i="2" s="1"/>
  <c r="M285" i="2"/>
  <c r="J285" i="2"/>
  <c r="K285" i="2" s="1"/>
  <c r="M284" i="2"/>
  <c r="J284" i="2"/>
  <c r="K284" i="2" s="1"/>
  <c r="M283" i="2"/>
  <c r="J283" i="2"/>
  <c r="K283" i="2" s="1"/>
  <c r="M282" i="2"/>
  <c r="J282" i="2"/>
  <c r="K282" i="2" s="1"/>
  <c r="M281" i="2"/>
  <c r="J281" i="2"/>
  <c r="K281" i="2" s="1"/>
  <c r="M280" i="2"/>
  <c r="J280" i="2"/>
  <c r="K280" i="2" s="1"/>
  <c r="M279" i="2"/>
  <c r="J279" i="2"/>
  <c r="K279" i="2" s="1"/>
  <c r="M278" i="2"/>
  <c r="J278" i="2"/>
  <c r="K278" i="2" s="1"/>
  <c r="M277" i="2"/>
  <c r="J277" i="2"/>
  <c r="K277" i="2" s="1"/>
  <c r="M276" i="2"/>
  <c r="J276" i="2"/>
  <c r="K276" i="2" s="1"/>
  <c r="M275" i="2"/>
  <c r="J275" i="2"/>
  <c r="K275" i="2" s="1"/>
  <c r="M274" i="2"/>
  <c r="J274" i="2"/>
  <c r="K274" i="2" s="1"/>
  <c r="M273" i="2"/>
  <c r="J273" i="2"/>
  <c r="K273" i="2" s="1"/>
  <c r="M272" i="2"/>
  <c r="J272" i="2"/>
  <c r="K272" i="2" s="1"/>
  <c r="M271" i="2"/>
  <c r="J271" i="2"/>
  <c r="K271" i="2" s="1"/>
  <c r="M270" i="2"/>
  <c r="J270" i="2"/>
  <c r="K270" i="2" s="1"/>
  <c r="M269" i="2"/>
  <c r="J269" i="2"/>
  <c r="K269" i="2" s="1"/>
  <c r="M268" i="2"/>
  <c r="J268" i="2"/>
  <c r="K268" i="2" s="1"/>
  <c r="M267" i="2"/>
  <c r="J267" i="2"/>
  <c r="K267" i="2" s="1"/>
  <c r="M266" i="2"/>
  <c r="J266" i="2"/>
  <c r="K266" i="2" s="1"/>
  <c r="M265" i="2"/>
  <c r="J265" i="2"/>
  <c r="K265" i="2" s="1"/>
  <c r="M264" i="2"/>
  <c r="J264" i="2"/>
  <c r="K264" i="2" s="1"/>
  <c r="M263" i="2"/>
  <c r="J263" i="2"/>
  <c r="K263" i="2" s="1"/>
  <c r="M262" i="2"/>
  <c r="J262" i="2"/>
  <c r="K262" i="2" s="1"/>
  <c r="M261" i="2"/>
  <c r="J261" i="2"/>
  <c r="K261" i="2" s="1"/>
  <c r="M260" i="2"/>
  <c r="J260" i="2"/>
  <c r="K260" i="2" s="1"/>
  <c r="M259" i="2"/>
  <c r="J259" i="2"/>
  <c r="K259" i="2" s="1"/>
  <c r="M258" i="2"/>
  <c r="J258" i="2"/>
  <c r="K258" i="2" s="1"/>
  <c r="M257" i="2"/>
  <c r="J257" i="2"/>
  <c r="K257" i="2" s="1"/>
  <c r="M256" i="2"/>
  <c r="J256" i="2"/>
  <c r="K256" i="2" s="1"/>
  <c r="M255" i="2"/>
  <c r="J255" i="2"/>
  <c r="K255" i="2" s="1"/>
  <c r="M254" i="2"/>
  <c r="J254" i="2"/>
  <c r="K254" i="2" s="1"/>
  <c r="M253" i="2"/>
  <c r="J253" i="2"/>
  <c r="K253" i="2" s="1"/>
  <c r="M252" i="2"/>
  <c r="J252" i="2"/>
  <c r="K252" i="2" s="1"/>
  <c r="M251" i="2"/>
  <c r="J251" i="2"/>
  <c r="K251" i="2" s="1"/>
  <c r="M250" i="2"/>
  <c r="J250" i="2"/>
  <c r="K250" i="2" s="1"/>
  <c r="M249" i="2"/>
  <c r="J249" i="2"/>
  <c r="K249" i="2" s="1"/>
  <c r="M248" i="2"/>
  <c r="J248" i="2"/>
  <c r="K248" i="2" s="1"/>
  <c r="M247" i="2"/>
  <c r="J247" i="2"/>
  <c r="K247" i="2" s="1"/>
  <c r="M246" i="2"/>
  <c r="J246" i="2"/>
  <c r="K246" i="2" s="1"/>
  <c r="M245" i="2"/>
  <c r="J245" i="2"/>
  <c r="K245" i="2" s="1"/>
  <c r="M244" i="2"/>
  <c r="J244" i="2"/>
  <c r="K244" i="2" s="1"/>
  <c r="M243" i="2"/>
  <c r="J243" i="2"/>
  <c r="K243" i="2" s="1"/>
  <c r="M242" i="2"/>
  <c r="J242" i="2"/>
  <c r="K242" i="2" s="1"/>
  <c r="M241" i="2"/>
  <c r="J241" i="2"/>
  <c r="K241" i="2" s="1"/>
  <c r="M240" i="2"/>
  <c r="J240" i="2"/>
  <c r="K240" i="2" s="1"/>
  <c r="M239" i="2"/>
  <c r="J239" i="2"/>
  <c r="K239" i="2" s="1"/>
  <c r="M238" i="2"/>
  <c r="J238" i="2"/>
  <c r="K238" i="2" s="1"/>
  <c r="M237" i="2"/>
  <c r="J237" i="2"/>
  <c r="K237" i="2" s="1"/>
  <c r="M236" i="2"/>
  <c r="J236" i="2"/>
  <c r="K236" i="2" s="1"/>
  <c r="M235" i="2"/>
  <c r="J235" i="2"/>
  <c r="K235" i="2" s="1"/>
  <c r="M234" i="2"/>
  <c r="J234" i="2"/>
  <c r="K234" i="2" s="1"/>
  <c r="M233" i="2"/>
  <c r="J233" i="2"/>
  <c r="K233" i="2" s="1"/>
  <c r="M232" i="2"/>
  <c r="J232" i="2"/>
  <c r="K232" i="2" s="1"/>
  <c r="M231" i="2"/>
  <c r="J231" i="2"/>
  <c r="K231" i="2" s="1"/>
  <c r="M230" i="2"/>
  <c r="J230" i="2"/>
  <c r="K230" i="2" s="1"/>
  <c r="M229" i="2"/>
  <c r="J229" i="2"/>
  <c r="K229" i="2" s="1"/>
  <c r="M228" i="2"/>
  <c r="J228" i="2"/>
  <c r="K228" i="2" s="1"/>
  <c r="M227" i="2"/>
  <c r="J227" i="2"/>
  <c r="K227" i="2" s="1"/>
  <c r="M226" i="2"/>
  <c r="J226" i="2"/>
  <c r="K226" i="2" s="1"/>
  <c r="M225" i="2"/>
  <c r="J225" i="2"/>
  <c r="K225" i="2" s="1"/>
  <c r="M224" i="2"/>
  <c r="J224" i="2"/>
  <c r="K224" i="2" s="1"/>
  <c r="M223" i="2"/>
  <c r="J223" i="2"/>
  <c r="K223" i="2" s="1"/>
  <c r="M222" i="2"/>
  <c r="J222" i="2"/>
  <c r="K222" i="2" s="1"/>
  <c r="M221" i="2"/>
  <c r="J221" i="2"/>
  <c r="K221" i="2" s="1"/>
  <c r="M220" i="2"/>
  <c r="J220" i="2"/>
  <c r="K220" i="2" s="1"/>
  <c r="M219" i="2"/>
  <c r="J219" i="2"/>
  <c r="K219" i="2" s="1"/>
  <c r="M218" i="2"/>
  <c r="J218" i="2"/>
  <c r="K218" i="2" s="1"/>
  <c r="M217" i="2"/>
  <c r="J217" i="2"/>
  <c r="K217" i="2" s="1"/>
  <c r="M216" i="2"/>
  <c r="J216" i="2"/>
  <c r="K216" i="2" s="1"/>
  <c r="M215" i="2"/>
  <c r="J215" i="2"/>
  <c r="K215" i="2" s="1"/>
  <c r="M214" i="2"/>
  <c r="J214" i="2"/>
  <c r="K214" i="2" s="1"/>
  <c r="M213" i="2"/>
  <c r="J213" i="2"/>
  <c r="K213" i="2" s="1"/>
  <c r="M212" i="2"/>
  <c r="J212" i="2"/>
  <c r="K212" i="2" s="1"/>
  <c r="M211" i="2"/>
  <c r="J211" i="2"/>
  <c r="K211" i="2" s="1"/>
  <c r="M210" i="2"/>
  <c r="J210" i="2"/>
  <c r="K210" i="2" s="1"/>
  <c r="M209" i="2"/>
  <c r="J209" i="2"/>
  <c r="K209" i="2" s="1"/>
  <c r="M208" i="2"/>
  <c r="J208" i="2"/>
  <c r="K208" i="2" s="1"/>
  <c r="M207" i="2"/>
  <c r="J207" i="2"/>
  <c r="K207" i="2" s="1"/>
  <c r="M206" i="2"/>
  <c r="J206" i="2"/>
  <c r="K206" i="2" s="1"/>
  <c r="M205" i="2"/>
  <c r="J205" i="2"/>
  <c r="K205" i="2" s="1"/>
  <c r="M204" i="2"/>
  <c r="J204" i="2"/>
  <c r="K204" i="2" s="1"/>
  <c r="M203" i="2"/>
  <c r="J203" i="2"/>
  <c r="K203" i="2" s="1"/>
  <c r="M202" i="2"/>
  <c r="J202" i="2"/>
  <c r="K202" i="2" s="1"/>
  <c r="M201" i="2"/>
  <c r="J201" i="2"/>
  <c r="K201" i="2" s="1"/>
  <c r="M200" i="2"/>
  <c r="J200" i="2"/>
  <c r="K200" i="2" s="1"/>
  <c r="M199" i="2"/>
  <c r="J199" i="2"/>
  <c r="K199" i="2" s="1"/>
  <c r="M198" i="2"/>
  <c r="J198" i="2"/>
  <c r="K198" i="2" s="1"/>
  <c r="M197" i="2"/>
  <c r="J197" i="2"/>
  <c r="K197" i="2" s="1"/>
  <c r="M196" i="2"/>
  <c r="J196" i="2"/>
  <c r="K196" i="2" s="1"/>
  <c r="M195" i="2"/>
  <c r="J195" i="2"/>
  <c r="K195" i="2" s="1"/>
  <c r="M194" i="2"/>
  <c r="J194" i="2"/>
  <c r="K194" i="2" s="1"/>
  <c r="M193" i="2"/>
  <c r="J193" i="2"/>
  <c r="K193" i="2" s="1"/>
  <c r="M192" i="2"/>
  <c r="J192" i="2"/>
  <c r="K192" i="2" s="1"/>
  <c r="M191" i="2"/>
  <c r="J191" i="2"/>
  <c r="K191" i="2" s="1"/>
  <c r="M190" i="2"/>
  <c r="J190" i="2"/>
  <c r="K190" i="2" s="1"/>
  <c r="M189" i="2"/>
  <c r="J189" i="2"/>
  <c r="K189" i="2" s="1"/>
  <c r="M188" i="2"/>
  <c r="J188" i="2"/>
  <c r="K188" i="2" s="1"/>
  <c r="M187" i="2"/>
  <c r="J187" i="2"/>
  <c r="K187" i="2" s="1"/>
  <c r="M186" i="2"/>
  <c r="J186" i="2"/>
  <c r="K186" i="2" s="1"/>
  <c r="M185" i="2"/>
  <c r="J185" i="2"/>
  <c r="K185" i="2" s="1"/>
  <c r="M184" i="2"/>
  <c r="J184" i="2"/>
  <c r="K184" i="2" s="1"/>
  <c r="M183" i="2"/>
  <c r="J183" i="2"/>
  <c r="K183" i="2" s="1"/>
  <c r="M182" i="2"/>
  <c r="J182" i="2"/>
  <c r="K182" i="2" s="1"/>
  <c r="M181" i="2"/>
  <c r="J181" i="2"/>
  <c r="K181" i="2" s="1"/>
  <c r="M180" i="2"/>
  <c r="J180" i="2"/>
  <c r="K180" i="2" s="1"/>
  <c r="M179" i="2"/>
  <c r="J179" i="2"/>
  <c r="K179" i="2" s="1"/>
  <c r="M178" i="2"/>
  <c r="J178" i="2"/>
  <c r="K178" i="2" s="1"/>
  <c r="M177" i="2"/>
  <c r="J177" i="2"/>
  <c r="K177" i="2" s="1"/>
  <c r="M176" i="2"/>
  <c r="J176" i="2"/>
  <c r="K176" i="2" s="1"/>
  <c r="M175" i="2"/>
  <c r="J175" i="2"/>
  <c r="K175" i="2" s="1"/>
  <c r="M174" i="2"/>
  <c r="J174" i="2"/>
  <c r="K174" i="2" s="1"/>
  <c r="M173" i="2"/>
  <c r="J173" i="2"/>
  <c r="K173" i="2" s="1"/>
  <c r="M172" i="2"/>
  <c r="J172" i="2"/>
  <c r="K172" i="2" s="1"/>
  <c r="M171" i="2"/>
  <c r="J171" i="2"/>
  <c r="K171" i="2" s="1"/>
  <c r="M170" i="2"/>
  <c r="J170" i="2"/>
  <c r="K170" i="2" s="1"/>
  <c r="M169" i="2"/>
  <c r="J169" i="2"/>
  <c r="K169" i="2" s="1"/>
  <c r="M168" i="2"/>
  <c r="J168" i="2"/>
  <c r="K168" i="2" s="1"/>
  <c r="M167" i="2"/>
  <c r="J167" i="2"/>
  <c r="K167" i="2" s="1"/>
  <c r="M166" i="2"/>
  <c r="J166" i="2"/>
  <c r="K166" i="2" s="1"/>
  <c r="M165" i="2"/>
  <c r="J165" i="2"/>
  <c r="K165" i="2" s="1"/>
  <c r="M164" i="2"/>
  <c r="J164" i="2"/>
  <c r="K164" i="2" s="1"/>
  <c r="M163" i="2"/>
  <c r="J163" i="2"/>
  <c r="K163" i="2" s="1"/>
  <c r="M162" i="2"/>
  <c r="J162" i="2"/>
  <c r="K162" i="2" s="1"/>
  <c r="M161" i="2"/>
  <c r="J161" i="2"/>
  <c r="K161" i="2" s="1"/>
  <c r="M160" i="2"/>
  <c r="J160" i="2"/>
  <c r="K160" i="2" s="1"/>
  <c r="M159" i="2"/>
  <c r="J159" i="2"/>
  <c r="K159" i="2" s="1"/>
  <c r="M158" i="2"/>
  <c r="J158" i="2"/>
  <c r="K158" i="2" s="1"/>
  <c r="M157" i="2"/>
  <c r="J157" i="2"/>
  <c r="K157" i="2" s="1"/>
  <c r="M156" i="2"/>
  <c r="J156" i="2"/>
  <c r="K156" i="2" s="1"/>
  <c r="M155" i="2"/>
  <c r="J155" i="2"/>
  <c r="K155" i="2" s="1"/>
  <c r="M154" i="2"/>
  <c r="J154" i="2"/>
  <c r="K154" i="2" s="1"/>
  <c r="M153" i="2"/>
  <c r="J153" i="2"/>
  <c r="K153" i="2" s="1"/>
  <c r="M152" i="2"/>
  <c r="J152" i="2"/>
  <c r="K152" i="2" s="1"/>
  <c r="M151" i="2"/>
  <c r="J151" i="2"/>
  <c r="K151" i="2" s="1"/>
  <c r="M150" i="2"/>
  <c r="J150" i="2"/>
  <c r="K150" i="2" s="1"/>
  <c r="M149" i="2"/>
  <c r="J149" i="2"/>
  <c r="K149" i="2" s="1"/>
  <c r="M148" i="2"/>
  <c r="J148" i="2"/>
  <c r="K148" i="2" s="1"/>
  <c r="M147" i="2"/>
  <c r="J147" i="2"/>
  <c r="K147" i="2" s="1"/>
  <c r="M146" i="2"/>
  <c r="J146" i="2"/>
  <c r="K146" i="2" s="1"/>
  <c r="M145" i="2"/>
  <c r="J145" i="2"/>
  <c r="K145" i="2" s="1"/>
  <c r="M144" i="2"/>
  <c r="J144" i="2"/>
  <c r="K144" i="2" s="1"/>
  <c r="M143" i="2"/>
  <c r="J143" i="2"/>
  <c r="K143" i="2" s="1"/>
  <c r="M142" i="2"/>
  <c r="J142" i="2"/>
  <c r="K142" i="2" s="1"/>
  <c r="M141" i="2"/>
  <c r="J141" i="2"/>
  <c r="K141" i="2" s="1"/>
  <c r="M140" i="2"/>
  <c r="J140" i="2"/>
  <c r="K140" i="2" s="1"/>
  <c r="M139" i="2"/>
  <c r="J139" i="2"/>
  <c r="K139" i="2" s="1"/>
  <c r="M138" i="2"/>
  <c r="J138" i="2"/>
  <c r="K138" i="2" s="1"/>
  <c r="M137" i="2"/>
  <c r="J137" i="2"/>
  <c r="K137" i="2" s="1"/>
  <c r="M136" i="2"/>
  <c r="J136" i="2"/>
  <c r="K136" i="2" s="1"/>
  <c r="M135" i="2"/>
  <c r="J135" i="2"/>
  <c r="K135" i="2" s="1"/>
  <c r="M134" i="2"/>
  <c r="J134" i="2"/>
  <c r="K134" i="2" s="1"/>
  <c r="M133" i="2"/>
  <c r="J133" i="2"/>
  <c r="K133" i="2" s="1"/>
  <c r="M132" i="2"/>
  <c r="J132" i="2"/>
  <c r="K132" i="2" s="1"/>
  <c r="M131" i="2"/>
  <c r="J131" i="2"/>
  <c r="K131" i="2" s="1"/>
  <c r="M130" i="2"/>
  <c r="J130" i="2"/>
  <c r="K130" i="2" s="1"/>
  <c r="M129" i="2"/>
  <c r="J129" i="2"/>
  <c r="K129" i="2" s="1"/>
  <c r="M128" i="2"/>
  <c r="J128" i="2"/>
  <c r="K128" i="2" s="1"/>
  <c r="M127" i="2"/>
  <c r="J127" i="2"/>
  <c r="K127" i="2" s="1"/>
  <c r="M126" i="2"/>
  <c r="J126" i="2"/>
  <c r="K126" i="2" s="1"/>
  <c r="M125" i="2"/>
  <c r="J125" i="2"/>
  <c r="K125" i="2" s="1"/>
  <c r="M124" i="2"/>
  <c r="J124" i="2"/>
  <c r="K124" i="2" s="1"/>
  <c r="M123" i="2"/>
  <c r="J123" i="2"/>
  <c r="K123" i="2" s="1"/>
  <c r="M122" i="2"/>
  <c r="J122" i="2"/>
  <c r="K122" i="2" s="1"/>
  <c r="M121" i="2"/>
  <c r="J121" i="2"/>
  <c r="K121" i="2" s="1"/>
  <c r="M120" i="2"/>
  <c r="J120" i="2"/>
  <c r="K120" i="2" s="1"/>
  <c r="M119" i="2"/>
  <c r="J119" i="2"/>
  <c r="K119" i="2" s="1"/>
  <c r="M118" i="2"/>
  <c r="J118" i="2"/>
  <c r="K118" i="2" s="1"/>
  <c r="M117" i="2"/>
  <c r="J117" i="2"/>
  <c r="K117" i="2" s="1"/>
  <c r="M116" i="2"/>
  <c r="J116" i="2"/>
  <c r="K116" i="2" s="1"/>
  <c r="M115" i="2"/>
  <c r="J115" i="2"/>
  <c r="K115" i="2" s="1"/>
  <c r="M114" i="2"/>
  <c r="J114" i="2"/>
  <c r="K114" i="2" s="1"/>
  <c r="M113" i="2"/>
  <c r="J113" i="2"/>
  <c r="K113" i="2" s="1"/>
  <c r="M112" i="2"/>
  <c r="J112" i="2"/>
  <c r="K112" i="2" s="1"/>
  <c r="M111" i="2"/>
  <c r="J111" i="2"/>
  <c r="K111" i="2" s="1"/>
  <c r="M110" i="2"/>
  <c r="J110" i="2"/>
  <c r="K110" i="2" s="1"/>
  <c r="M109" i="2"/>
  <c r="J109" i="2"/>
  <c r="K109" i="2" s="1"/>
  <c r="M108" i="2"/>
  <c r="J108" i="2"/>
  <c r="K108" i="2" s="1"/>
  <c r="M107" i="2"/>
  <c r="J107" i="2"/>
  <c r="K107" i="2" s="1"/>
  <c r="M106" i="2"/>
  <c r="J106" i="2"/>
  <c r="K106" i="2" s="1"/>
  <c r="M105" i="2"/>
  <c r="J105" i="2"/>
  <c r="K105" i="2" s="1"/>
  <c r="M104" i="2"/>
  <c r="J104" i="2"/>
  <c r="K104" i="2" s="1"/>
  <c r="M103" i="2"/>
  <c r="J103" i="2"/>
  <c r="K103" i="2" s="1"/>
  <c r="M102" i="2"/>
  <c r="J102" i="2"/>
  <c r="K102" i="2" s="1"/>
  <c r="M101" i="2"/>
  <c r="J101" i="2"/>
  <c r="K101" i="2" s="1"/>
  <c r="M100" i="2"/>
  <c r="J100" i="2"/>
  <c r="K100" i="2" s="1"/>
  <c r="M99" i="2"/>
  <c r="J99" i="2"/>
  <c r="K99" i="2" s="1"/>
  <c r="M98" i="2"/>
  <c r="J98" i="2"/>
  <c r="K98" i="2" s="1"/>
  <c r="M97" i="2"/>
  <c r="J97" i="2"/>
  <c r="K97" i="2" s="1"/>
  <c r="M96" i="2"/>
  <c r="J96" i="2"/>
  <c r="K96" i="2" s="1"/>
  <c r="M95" i="2"/>
  <c r="J95" i="2"/>
  <c r="K95" i="2" s="1"/>
  <c r="M94" i="2"/>
  <c r="J94" i="2"/>
  <c r="K94" i="2" s="1"/>
  <c r="M93" i="2"/>
  <c r="J93" i="2"/>
  <c r="K93" i="2" s="1"/>
  <c r="M92" i="2"/>
  <c r="J92" i="2"/>
  <c r="K92" i="2" s="1"/>
  <c r="M91" i="2"/>
  <c r="J91" i="2"/>
  <c r="K91" i="2" s="1"/>
  <c r="M90" i="2"/>
  <c r="J90" i="2"/>
  <c r="K90" i="2" s="1"/>
  <c r="M89" i="2"/>
  <c r="J89" i="2"/>
  <c r="K89" i="2" s="1"/>
  <c r="M88" i="2"/>
  <c r="J88" i="2"/>
  <c r="K88" i="2" s="1"/>
  <c r="M87" i="2"/>
  <c r="J87" i="2"/>
  <c r="K87" i="2" s="1"/>
  <c r="M86" i="2"/>
  <c r="J86" i="2"/>
  <c r="K86" i="2" s="1"/>
  <c r="M85" i="2"/>
  <c r="J85" i="2"/>
  <c r="K85" i="2" s="1"/>
  <c r="M84" i="2"/>
  <c r="J84" i="2"/>
  <c r="K84" i="2" s="1"/>
  <c r="M83" i="2"/>
  <c r="J83" i="2"/>
  <c r="K83" i="2" s="1"/>
  <c r="M82" i="2"/>
  <c r="J82" i="2"/>
  <c r="K82" i="2" s="1"/>
  <c r="M81" i="2"/>
  <c r="J81" i="2"/>
  <c r="K81" i="2" s="1"/>
  <c r="M80" i="2"/>
  <c r="J80" i="2"/>
  <c r="K80" i="2" s="1"/>
  <c r="M79" i="2"/>
  <c r="J79" i="2"/>
  <c r="K79" i="2" s="1"/>
  <c r="M78" i="2"/>
  <c r="J78" i="2"/>
  <c r="K78" i="2" s="1"/>
  <c r="M77" i="2"/>
  <c r="J77" i="2"/>
  <c r="K77" i="2" s="1"/>
  <c r="M76" i="2"/>
  <c r="J76" i="2"/>
  <c r="K76" i="2" s="1"/>
  <c r="M75" i="2"/>
  <c r="J75" i="2"/>
  <c r="K75" i="2" s="1"/>
  <c r="M74" i="2"/>
  <c r="J74" i="2"/>
  <c r="K74" i="2" s="1"/>
  <c r="M73" i="2"/>
  <c r="J73" i="2"/>
  <c r="K73" i="2" s="1"/>
  <c r="M72" i="2"/>
  <c r="J72" i="2"/>
  <c r="K72" i="2" s="1"/>
  <c r="M71" i="2"/>
  <c r="J71" i="2"/>
  <c r="K71" i="2" s="1"/>
  <c r="M70" i="2"/>
  <c r="J70" i="2"/>
  <c r="K70" i="2" s="1"/>
  <c r="M69" i="2"/>
  <c r="J69" i="2"/>
  <c r="K69" i="2" s="1"/>
  <c r="M68" i="2"/>
  <c r="J68" i="2"/>
  <c r="K68" i="2" s="1"/>
  <c r="M67" i="2"/>
  <c r="J67" i="2"/>
  <c r="K67" i="2" s="1"/>
  <c r="M66" i="2"/>
  <c r="J66" i="2"/>
  <c r="K66" i="2" s="1"/>
  <c r="M65" i="2"/>
  <c r="J65" i="2"/>
  <c r="K65" i="2" s="1"/>
  <c r="M64" i="2"/>
  <c r="J64" i="2"/>
  <c r="K64" i="2" s="1"/>
  <c r="M63" i="2"/>
  <c r="J63" i="2"/>
  <c r="K63" i="2" s="1"/>
  <c r="M62" i="2"/>
  <c r="J62" i="2"/>
  <c r="K62" i="2" s="1"/>
  <c r="M61" i="2"/>
  <c r="J61" i="2"/>
  <c r="K61" i="2" s="1"/>
  <c r="M60" i="2"/>
  <c r="J60" i="2"/>
  <c r="K60" i="2" s="1"/>
  <c r="M59" i="2"/>
  <c r="J59" i="2"/>
  <c r="K59" i="2" s="1"/>
  <c r="M58" i="2"/>
  <c r="J58" i="2"/>
  <c r="K58" i="2" s="1"/>
  <c r="M57" i="2"/>
  <c r="J57" i="2"/>
  <c r="K57" i="2" s="1"/>
  <c r="M56" i="2"/>
  <c r="J56" i="2"/>
  <c r="K56" i="2" s="1"/>
  <c r="M55" i="2"/>
  <c r="J55" i="2"/>
  <c r="K55" i="2" s="1"/>
  <c r="M54" i="2"/>
  <c r="J54" i="2"/>
  <c r="K54" i="2" s="1"/>
  <c r="M53" i="2"/>
  <c r="J53" i="2"/>
  <c r="K53" i="2" s="1"/>
  <c r="M52" i="2"/>
  <c r="J52" i="2"/>
  <c r="K52" i="2" s="1"/>
  <c r="M51" i="2"/>
  <c r="J51" i="2"/>
  <c r="K51" i="2" s="1"/>
  <c r="M50" i="2"/>
  <c r="J50" i="2"/>
  <c r="K50" i="2" s="1"/>
  <c r="M49" i="2"/>
  <c r="J49" i="2"/>
  <c r="K49" i="2" s="1"/>
  <c r="M48" i="2"/>
  <c r="J48" i="2"/>
  <c r="K48" i="2" s="1"/>
  <c r="M47" i="2"/>
  <c r="J47" i="2"/>
  <c r="K47" i="2" s="1"/>
  <c r="M46" i="2"/>
  <c r="J46" i="2"/>
  <c r="K46" i="2" s="1"/>
  <c r="M45" i="2"/>
  <c r="J45" i="2"/>
  <c r="K45" i="2" s="1"/>
  <c r="M44" i="2"/>
  <c r="J44" i="2"/>
  <c r="K44" i="2" s="1"/>
  <c r="M43" i="2"/>
  <c r="J43" i="2"/>
  <c r="K43" i="2" s="1"/>
  <c r="M42" i="2"/>
  <c r="J42" i="2"/>
  <c r="K42" i="2" s="1"/>
  <c r="M41" i="2"/>
  <c r="J41" i="2"/>
  <c r="K41" i="2" s="1"/>
  <c r="M40" i="2"/>
  <c r="J40" i="2"/>
  <c r="K40" i="2" s="1"/>
  <c r="M39" i="2"/>
  <c r="J39" i="2"/>
  <c r="K39" i="2" s="1"/>
  <c r="M38" i="2"/>
  <c r="J38" i="2"/>
  <c r="K38" i="2" s="1"/>
  <c r="M37" i="2"/>
  <c r="J37" i="2"/>
  <c r="K37" i="2" s="1"/>
  <c r="M36" i="2"/>
  <c r="J36" i="2"/>
  <c r="K36" i="2" s="1"/>
  <c r="M35" i="2"/>
  <c r="J35" i="2"/>
  <c r="K35" i="2" s="1"/>
  <c r="M34" i="2"/>
  <c r="J34" i="2"/>
  <c r="K34" i="2" s="1"/>
  <c r="M33" i="2"/>
  <c r="J33" i="2"/>
  <c r="K33" i="2" s="1"/>
  <c r="M32" i="2"/>
  <c r="J32" i="2"/>
  <c r="K32" i="2" s="1"/>
  <c r="M31" i="2"/>
  <c r="J31" i="2"/>
  <c r="K31" i="2" s="1"/>
  <c r="M30" i="2"/>
  <c r="J30" i="2"/>
  <c r="K30" i="2" s="1"/>
  <c r="M29" i="2"/>
  <c r="J29" i="2"/>
  <c r="K29" i="2" s="1"/>
  <c r="M28" i="2"/>
  <c r="J28" i="2"/>
  <c r="K28" i="2" s="1"/>
  <c r="M27" i="2"/>
  <c r="J27" i="2"/>
  <c r="K27" i="2" s="1"/>
  <c r="M26" i="2"/>
  <c r="J26" i="2"/>
  <c r="K26" i="2" s="1"/>
  <c r="M25" i="2"/>
  <c r="J25" i="2"/>
  <c r="K25" i="2" s="1"/>
  <c r="M24" i="2"/>
  <c r="J24" i="2"/>
  <c r="K24" i="2" s="1"/>
  <c r="M23" i="2"/>
  <c r="J23" i="2"/>
  <c r="K23" i="2" s="1"/>
  <c r="M22" i="2"/>
  <c r="J22" i="2"/>
  <c r="K22" i="2" s="1"/>
  <c r="M21" i="2"/>
  <c r="J21" i="2"/>
  <c r="K21" i="2" s="1"/>
  <c r="M20" i="2"/>
  <c r="J20" i="2"/>
  <c r="K20" i="2" s="1"/>
  <c r="M19" i="2"/>
  <c r="J19" i="2"/>
  <c r="K19" i="2" s="1"/>
  <c r="M18" i="2"/>
  <c r="J18" i="2"/>
  <c r="K18" i="2" s="1"/>
  <c r="M17" i="2"/>
  <c r="J17" i="2"/>
  <c r="K17" i="2" s="1"/>
  <c r="L17" i="2" s="1"/>
  <c r="M16" i="2"/>
  <c r="J16" i="2"/>
  <c r="K16" i="2" s="1"/>
  <c r="L16" i="2" s="1"/>
  <c r="M15" i="2"/>
  <c r="J15" i="2"/>
  <c r="K15" i="2" s="1"/>
  <c r="L15" i="2" s="1"/>
  <c r="M14" i="2"/>
  <c r="J14" i="2"/>
  <c r="K14" i="2" s="1"/>
  <c r="L14" i="2" s="1"/>
  <c r="M13" i="2"/>
  <c r="J13" i="2"/>
  <c r="K13" i="2" s="1"/>
  <c r="L13" i="2" s="1"/>
  <c r="M12" i="2"/>
  <c r="J12" i="2"/>
  <c r="K12" i="2" s="1"/>
  <c r="L12" i="2" s="1"/>
  <c r="M11" i="2"/>
  <c r="J11" i="2"/>
  <c r="K11" i="2" s="1"/>
  <c r="L11" i="2" s="1"/>
  <c r="M10" i="2"/>
  <c r="J10" i="2"/>
  <c r="K10" i="2" s="1"/>
  <c r="L10" i="2" s="1"/>
  <c r="M9" i="2"/>
  <c r="J9" i="2"/>
  <c r="K9" i="2" s="1"/>
  <c r="L9" i="2" s="1"/>
  <c r="M8" i="2"/>
  <c r="J8" i="2"/>
  <c r="K8" i="2" s="1"/>
  <c r="L8" i="2" s="1"/>
  <c r="M7" i="2"/>
  <c r="J7" i="2"/>
  <c r="K7" i="2" s="1"/>
  <c r="L7" i="2" s="1"/>
  <c r="M6" i="2"/>
  <c r="J6" i="2"/>
  <c r="K6" i="2" s="1"/>
  <c r="L6" i="2" s="1"/>
  <c r="M5" i="2"/>
  <c r="J5" i="2"/>
  <c r="K5" i="2" s="1"/>
  <c r="L5" i="2" s="1"/>
  <c r="M4" i="2"/>
  <c r="J4" i="2"/>
  <c r="K4" i="2" s="1"/>
  <c r="L4" i="2" s="1"/>
  <c r="B24" i="1"/>
  <c r="B23" i="1"/>
  <c r="R18" i="1"/>
  <c r="Q18" i="1"/>
  <c r="M18" i="1"/>
  <c r="L18" i="1"/>
  <c r="K18" i="1"/>
  <c r="G18" i="1"/>
  <c r="F18" i="1"/>
  <c r="R17" i="1"/>
  <c r="Q17" i="1"/>
  <c r="J17" i="1"/>
  <c r="H17" i="1"/>
  <c r="I17" i="1" s="1"/>
  <c r="R16" i="1"/>
  <c r="Q16" i="1"/>
  <c r="J16" i="1"/>
  <c r="H16" i="1"/>
  <c r="I16" i="1" s="1"/>
  <c r="R15" i="1"/>
  <c r="Q15" i="1"/>
  <c r="J15" i="1"/>
  <c r="H15" i="1"/>
  <c r="I15" i="1" s="1"/>
  <c r="R14" i="1"/>
  <c r="Q14" i="1"/>
  <c r="J14" i="1"/>
  <c r="H14" i="1"/>
  <c r="I14" i="1" s="1"/>
  <c r="R13" i="1"/>
  <c r="Q13" i="1"/>
  <c r="J13" i="1"/>
  <c r="H13" i="1"/>
  <c r="I13" i="1" s="1"/>
  <c r="R12" i="1"/>
  <c r="Q12" i="1"/>
  <c r="J12" i="1"/>
  <c r="H12" i="1"/>
  <c r="I12" i="1" s="1"/>
  <c r="R11" i="1"/>
  <c r="Q11" i="1"/>
  <c r="J11" i="1"/>
  <c r="H11" i="1"/>
  <c r="I11" i="1" s="1"/>
  <c r="R10" i="1"/>
  <c r="Q10" i="1"/>
  <c r="J10" i="1"/>
  <c r="H10" i="1"/>
  <c r="I10" i="1" s="1"/>
  <c r="R9" i="1"/>
  <c r="Q9" i="1"/>
  <c r="J9" i="1"/>
  <c r="H9" i="1"/>
  <c r="I9" i="1" s="1"/>
  <c r="R8" i="1"/>
  <c r="Q8" i="1"/>
  <c r="J8" i="1"/>
  <c r="H8" i="1"/>
  <c r="I8" i="1" s="1"/>
  <c r="R7" i="1"/>
  <c r="Q7" i="1"/>
  <c r="J7" i="1"/>
  <c r="H7" i="1"/>
  <c r="I7" i="1" s="1"/>
  <c r="R6" i="1"/>
  <c r="Q6" i="1"/>
  <c r="J6" i="1"/>
  <c r="H6" i="1"/>
  <c r="I6" i="1" s="1"/>
  <c r="R5" i="1"/>
  <c r="Q5" i="1"/>
  <c r="J5" i="1"/>
  <c r="H5" i="1"/>
  <c r="R4" i="1"/>
  <c r="Q4" i="1"/>
  <c r="J4" i="1"/>
  <c r="J18" i="1" s="1"/>
  <c r="H4" i="1"/>
  <c r="C23" i="1" l="1"/>
  <c r="D23" i="1" s="1"/>
  <c r="H18" i="1"/>
  <c r="I18" i="1" s="1"/>
  <c r="I4" i="1"/>
  <c r="C24" i="1"/>
  <c r="D24" i="1" s="1"/>
  <c r="I5" i="1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33" i="2"/>
  <c r="L34" i="2"/>
  <c r="L35" i="2"/>
  <c r="L36" i="2"/>
  <c r="L37" i="2"/>
  <c r="L38" i="2"/>
  <c r="L39" i="2"/>
  <c r="L40" i="2"/>
  <c r="L41" i="2"/>
  <c r="L42" i="2"/>
  <c r="L43" i="2"/>
  <c r="L44" i="2"/>
  <c r="L45" i="2"/>
  <c r="L46" i="2"/>
  <c r="L47" i="2"/>
  <c r="L48" i="2"/>
  <c r="L49" i="2"/>
  <c r="L50" i="2"/>
  <c r="L51" i="2"/>
  <c r="L52" i="2"/>
  <c r="L53" i="2"/>
  <c r="L54" i="2"/>
  <c r="L55" i="2"/>
  <c r="L56" i="2"/>
  <c r="L57" i="2"/>
  <c r="L58" i="2"/>
  <c r="L59" i="2"/>
  <c r="L60" i="2"/>
  <c r="L61" i="2"/>
  <c r="L62" i="2"/>
  <c r="L63" i="2"/>
  <c r="L64" i="2"/>
  <c r="L65" i="2"/>
  <c r="L66" i="2"/>
  <c r="L67" i="2"/>
  <c r="L68" i="2"/>
  <c r="L69" i="2"/>
  <c r="L70" i="2"/>
  <c r="L71" i="2"/>
  <c r="L72" i="2"/>
  <c r="L73" i="2"/>
  <c r="L74" i="2"/>
  <c r="L75" i="2"/>
  <c r="L76" i="2"/>
  <c r="L77" i="2"/>
  <c r="L78" i="2"/>
  <c r="L79" i="2"/>
  <c r="L80" i="2"/>
  <c r="L81" i="2"/>
  <c r="L82" i="2"/>
  <c r="L83" i="2"/>
  <c r="L84" i="2"/>
  <c r="L85" i="2"/>
  <c r="L86" i="2"/>
  <c r="L87" i="2"/>
  <c r="L88" i="2"/>
  <c r="L89" i="2"/>
  <c r="L90" i="2"/>
  <c r="L91" i="2"/>
  <c r="L92" i="2"/>
  <c r="L93" i="2"/>
  <c r="L94" i="2"/>
  <c r="L95" i="2"/>
  <c r="L96" i="2"/>
  <c r="L97" i="2"/>
  <c r="L98" i="2"/>
  <c r="L99" i="2"/>
  <c r="L100" i="2"/>
  <c r="L101" i="2"/>
  <c r="L102" i="2"/>
  <c r="L103" i="2"/>
  <c r="L104" i="2"/>
  <c r="L105" i="2"/>
  <c r="L106" i="2"/>
  <c r="L107" i="2"/>
  <c r="L108" i="2"/>
  <c r="L109" i="2"/>
  <c r="L110" i="2"/>
  <c r="L111" i="2"/>
  <c r="L112" i="2"/>
  <c r="L113" i="2"/>
  <c r="L114" i="2"/>
  <c r="L115" i="2"/>
  <c r="L116" i="2"/>
  <c r="L117" i="2"/>
  <c r="L118" i="2"/>
  <c r="L119" i="2"/>
  <c r="L120" i="2"/>
  <c r="L121" i="2"/>
  <c r="L122" i="2"/>
  <c r="L123" i="2"/>
  <c r="L124" i="2"/>
  <c r="L125" i="2"/>
  <c r="L126" i="2"/>
  <c r="L127" i="2"/>
  <c r="L128" i="2"/>
  <c r="L129" i="2"/>
  <c r="L130" i="2"/>
  <c r="L131" i="2"/>
  <c r="L132" i="2"/>
  <c r="L133" i="2"/>
  <c r="L134" i="2"/>
  <c r="L135" i="2"/>
  <c r="L136" i="2"/>
  <c r="L137" i="2"/>
  <c r="L138" i="2"/>
  <c r="L139" i="2"/>
  <c r="L140" i="2"/>
  <c r="L141" i="2"/>
  <c r="L142" i="2"/>
  <c r="L143" i="2"/>
  <c r="L144" i="2"/>
  <c r="L145" i="2"/>
  <c r="L146" i="2"/>
  <c r="L147" i="2"/>
  <c r="L148" i="2"/>
  <c r="L149" i="2"/>
  <c r="L150" i="2"/>
  <c r="L151" i="2"/>
  <c r="L152" i="2"/>
  <c r="L153" i="2"/>
  <c r="L154" i="2"/>
  <c r="L155" i="2"/>
  <c r="L156" i="2"/>
  <c r="L157" i="2"/>
  <c r="L158" i="2"/>
  <c r="L159" i="2"/>
  <c r="L160" i="2"/>
  <c r="L161" i="2"/>
  <c r="L162" i="2"/>
  <c r="L163" i="2"/>
  <c r="L164" i="2"/>
  <c r="L165" i="2"/>
  <c r="L166" i="2"/>
  <c r="L167" i="2"/>
  <c r="L168" i="2"/>
  <c r="L169" i="2"/>
  <c r="L170" i="2"/>
  <c r="L171" i="2"/>
  <c r="L172" i="2"/>
  <c r="L173" i="2"/>
  <c r="L174" i="2"/>
  <c r="L175" i="2"/>
  <c r="L176" i="2"/>
  <c r="L177" i="2"/>
  <c r="L178" i="2"/>
  <c r="L179" i="2"/>
  <c r="L180" i="2"/>
  <c r="L181" i="2"/>
  <c r="L182" i="2"/>
  <c r="L183" i="2"/>
  <c r="L184" i="2"/>
  <c r="L185" i="2"/>
  <c r="L186" i="2"/>
  <c r="L187" i="2"/>
  <c r="L188" i="2"/>
  <c r="L189" i="2"/>
  <c r="L190" i="2"/>
  <c r="L191" i="2"/>
  <c r="L192" i="2"/>
  <c r="L193" i="2"/>
  <c r="L194" i="2"/>
  <c r="L195" i="2"/>
  <c r="L196" i="2"/>
  <c r="L197" i="2"/>
  <c r="L198" i="2"/>
  <c r="L199" i="2"/>
  <c r="L200" i="2"/>
  <c r="L201" i="2"/>
  <c r="L202" i="2"/>
  <c r="L203" i="2"/>
  <c r="L204" i="2"/>
  <c r="L205" i="2"/>
  <c r="L206" i="2"/>
  <c r="L207" i="2"/>
  <c r="L208" i="2"/>
  <c r="L209" i="2"/>
  <c r="L210" i="2"/>
  <c r="L211" i="2"/>
  <c r="L212" i="2"/>
  <c r="L213" i="2"/>
  <c r="L214" i="2"/>
  <c r="L215" i="2"/>
  <c r="L216" i="2"/>
  <c r="L217" i="2"/>
  <c r="L218" i="2"/>
  <c r="L219" i="2"/>
  <c r="L220" i="2"/>
  <c r="L221" i="2"/>
  <c r="L222" i="2"/>
  <c r="L223" i="2"/>
  <c r="L224" i="2"/>
  <c r="L225" i="2"/>
  <c r="L226" i="2"/>
  <c r="L227" i="2"/>
  <c r="L228" i="2"/>
  <c r="L229" i="2"/>
  <c r="L230" i="2"/>
  <c r="L231" i="2"/>
  <c r="L232" i="2"/>
  <c r="L233" i="2"/>
  <c r="L234" i="2"/>
  <c r="L235" i="2"/>
  <c r="L236" i="2"/>
  <c r="L237" i="2"/>
  <c r="L238" i="2"/>
  <c r="L239" i="2"/>
  <c r="L240" i="2"/>
  <c r="L241" i="2"/>
  <c r="L242" i="2"/>
  <c r="L243" i="2"/>
  <c r="L244" i="2"/>
  <c r="L245" i="2"/>
  <c r="L246" i="2"/>
  <c r="L247" i="2"/>
  <c r="L248" i="2"/>
  <c r="L249" i="2"/>
  <c r="L250" i="2"/>
  <c r="L251" i="2"/>
  <c r="L252" i="2"/>
  <c r="L253" i="2"/>
  <c r="L254" i="2"/>
  <c r="L255" i="2"/>
  <c r="L256" i="2"/>
  <c r="L257" i="2"/>
  <c r="L258" i="2"/>
  <c r="L259" i="2"/>
  <c r="L260" i="2"/>
  <c r="L261" i="2"/>
  <c r="L262" i="2"/>
  <c r="L263" i="2"/>
  <c r="L264" i="2"/>
  <c r="L265" i="2"/>
  <c r="L266" i="2"/>
  <c r="L267" i="2"/>
  <c r="L268" i="2"/>
  <c r="L269" i="2"/>
  <c r="L270" i="2"/>
  <c r="L271" i="2"/>
  <c r="L272" i="2"/>
  <c r="L273" i="2"/>
  <c r="L274" i="2"/>
  <c r="L275" i="2"/>
  <c r="L276" i="2"/>
  <c r="L277" i="2"/>
  <c r="L278" i="2"/>
  <c r="L279" i="2"/>
  <c r="L280" i="2"/>
  <c r="L281" i="2"/>
  <c r="L282" i="2"/>
  <c r="L283" i="2"/>
  <c r="L284" i="2"/>
  <c r="L285" i="2"/>
  <c r="L286" i="2"/>
  <c r="L287" i="2"/>
  <c r="L288" i="2"/>
  <c r="L289" i="2"/>
  <c r="L290" i="2"/>
  <c r="L291" i="2"/>
  <c r="L292" i="2"/>
  <c r="L293" i="2"/>
  <c r="L294" i="2"/>
  <c r="L295" i="2"/>
  <c r="L296" i="2"/>
  <c r="L297" i="2"/>
  <c r="L298" i="2"/>
  <c r="L299" i="2"/>
  <c r="L300" i="2"/>
  <c r="L301" i="2"/>
  <c r="L302" i="2"/>
  <c r="L303" i="2"/>
  <c r="L304" i="2"/>
  <c r="L305" i="2"/>
  <c r="L306" i="2"/>
  <c r="L307" i="2"/>
  <c r="L308" i="2"/>
  <c r="L309" i="2"/>
  <c r="L310" i="2"/>
  <c r="L311" i="2"/>
  <c r="L312" i="2"/>
  <c r="L313" i="2"/>
  <c r="L314" i="2"/>
  <c r="L315" i="2"/>
  <c r="L316" i="2"/>
  <c r="L317" i="2"/>
  <c r="L318" i="2"/>
  <c r="L319" i="2"/>
  <c r="L320" i="2"/>
  <c r="L321" i="2"/>
  <c r="L322" i="2"/>
  <c r="L323" i="2"/>
  <c r="L324" i="2"/>
  <c r="L325" i="2"/>
  <c r="L326" i="2"/>
  <c r="L327" i="2"/>
  <c r="L328" i="2"/>
  <c r="L329" i="2"/>
  <c r="L330" i="2"/>
  <c r="L331" i="2"/>
  <c r="L332" i="2"/>
  <c r="L333" i="2"/>
  <c r="L334" i="2"/>
  <c r="L335" i="2"/>
  <c r="L336" i="2"/>
  <c r="L337" i="2"/>
  <c r="L338" i="2"/>
  <c r="L339" i="2"/>
  <c r="L340" i="2"/>
  <c r="L341" i="2"/>
  <c r="L342" i="2"/>
  <c r="L343" i="2"/>
  <c r="L344" i="2"/>
  <c r="L345" i="2"/>
  <c r="L346" i="2"/>
  <c r="L347" i="2"/>
  <c r="L348" i="2"/>
  <c r="L349" i="2"/>
  <c r="L350" i="2"/>
  <c r="L351" i="2"/>
  <c r="L352" i="2"/>
  <c r="L353" i="2"/>
  <c r="L354" i="2"/>
  <c r="L355" i="2"/>
  <c r="L356" i="2"/>
  <c r="L357" i="2"/>
  <c r="L358" i="2"/>
  <c r="L359" i="2"/>
  <c r="L360" i="2"/>
  <c r="L361" i="2"/>
  <c r="L362" i="2"/>
  <c r="L363" i="2"/>
  <c r="L364" i="2"/>
  <c r="L365" i="2"/>
  <c r="L366" i="2"/>
  <c r="L367" i="2"/>
  <c r="L368" i="2"/>
  <c r="L369" i="2"/>
  <c r="L370" i="2"/>
  <c r="L371" i="2"/>
  <c r="L372" i="2"/>
  <c r="L373" i="2"/>
  <c r="L374" i="2"/>
  <c r="L375" i="2"/>
  <c r="L376" i="2"/>
  <c r="L377" i="2"/>
  <c r="L378" i="2"/>
  <c r="L379" i="2"/>
  <c r="L380" i="2"/>
  <c r="L381" i="2"/>
  <c r="L4" i="3"/>
  <c r="M4" i="3" s="1"/>
  <c r="L5" i="3"/>
  <c r="M5" i="3" s="1"/>
  <c r="L6" i="3"/>
  <c r="M6" i="3" s="1"/>
  <c r="L7" i="3"/>
  <c r="M7" i="3" s="1"/>
  <c r="L8" i="3"/>
  <c r="M8" i="3" s="1"/>
  <c r="L9" i="3"/>
  <c r="M9" i="3" s="1"/>
  <c r="L10" i="3"/>
  <c r="M10" i="3" s="1"/>
  <c r="L11" i="3"/>
  <c r="M11" i="3" s="1"/>
  <c r="L12" i="3"/>
  <c r="M12" i="3" s="1"/>
  <c r="L13" i="3"/>
  <c r="M13" i="3" s="1"/>
  <c r="L14" i="3"/>
  <c r="M14" i="3" s="1"/>
  <c r="L15" i="3"/>
  <c r="M15" i="3" s="1"/>
  <c r="L16" i="3"/>
  <c r="M16" i="3" s="1"/>
  <c r="L17" i="3"/>
  <c r="M17" i="3" s="1"/>
  <c r="L18" i="3"/>
  <c r="M18" i="3" s="1"/>
  <c r="L19" i="3"/>
  <c r="M19" i="3" s="1"/>
  <c r="L20" i="3"/>
  <c r="M20" i="3" s="1"/>
  <c r="L21" i="3"/>
  <c r="M21" i="3" s="1"/>
  <c r="L22" i="3"/>
  <c r="M22" i="3" s="1"/>
  <c r="L23" i="3"/>
  <c r="M23" i="3" s="1"/>
  <c r="L24" i="3"/>
  <c r="M24" i="3" s="1"/>
  <c r="L25" i="3"/>
  <c r="M25" i="3" s="1"/>
  <c r="L26" i="3"/>
  <c r="M26" i="3" s="1"/>
  <c r="L27" i="3"/>
  <c r="M27" i="3" s="1"/>
  <c r="L28" i="3"/>
  <c r="M28" i="3" s="1"/>
  <c r="L29" i="3"/>
  <c r="M29" i="3" s="1"/>
  <c r="L30" i="3"/>
  <c r="M30" i="3" s="1"/>
  <c r="L31" i="3"/>
  <c r="M31" i="3" s="1"/>
  <c r="L32" i="3"/>
  <c r="M32" i="3" s="1"/>
  <c r="L33" i="3"/>
  <c r="M33" i="3" s="1"/>
  <c r="L34" i="3"/>
  <c r="M34" i="3" s="1"/>
  <c r="L35" i="3"/>
  <c r="M35" i="3" s="1"/>
  <c r="L36" i="3"/>
  <c r="M36" i="3" s="1"/>
  <c r="L37" i="3"/>
  <c r="M37" i="3" s="1"/>
  <c r="L38" i="3"/>
  <c r="M38" i="3" s="1"/>
  <c r="L39" i="3"/>
  <c r="M39" i="3" s="1"/>
  <c r="L40" i="3"/>
  <c r="M40" i="3" s="1"/>
  <c r="L41" i="3"/>
  <c r="M41" i="3" s="1"/>
  <c r="L42" i="3"/>
  <c r="M42" i="3" s="1"/>
  <c r="L43" i="3"/>
  <c r="M43" i="3" s="1"/>
  <c r="L44" i="3"/>
  <c r="M44" i="3" s="1"/>
  <c r="L45" i="3"/>
  <c r="M45" i="3" s="1"/>
  <c r="L46" i="3"/>
  <c r="M46" i="3" s="1"/>
  <c r="L47" i="3"/>
  <c r="M47" i="3" s="1"/>
  <c r="L48" i="3"/>
  <c r="M48" i="3" s="1"/>
  <c r="L49" i="3"/>
  <c r="M49" i="3" s="1"/>
  <c r="L50" i="3"/>
  <c r="M50" i="3" s="1"/>
  <c r="L51" i="3"/>
  <c r="M51" i="3" s="1"/>
  <c r="L52" i="3"/>
  <c r="M52" i="3" s="1"/>
  <c r="L53" i="3"/>
  <c r="M53" i="3" s="1"/>
  <c r="L54" i="3"/>
  <c r="M54" i="3" s="1"/>
  <c r="L55" i="3"/>
  <c r="M55" i="3" s="1"/>
  <c r="L56" i="3"/>
  <c r="M56" i="3" s="1"/>
  <c r="L57" i="3"/>
  <c r="M57" i="3" s="1"/>
  <c r="L58" i="3"/>
  <c r="M58" i="3" s="1"/>
  <c r="L59" i="3"/>
  <c r="M59" i="3" s="1"/>
  <c r="L60" i="3"/>
  <c r="M60" i="3" s="1"/>
  <c r="L61" i="3"/>
  <c r="M61" i="3" s="1"/>
  <c r="L62" i="3"/>
  <c r="M62" i="3" s="1"/>
  <c r="L63" i="3"/>
  <c r="M63" i="3" s="1"/>
  <c r="L64" i="3"/>
  <c r="M64" i="3" s="1"/>
  <c r="L65" i="3"/>
  <c r="M65" i="3" s="1"/>
  <c r="L66" i="3"/>
  <c r="M66" i="3" s="1"/>
  <c r="L67" i="3"/>
  <c r="M67" i="3" s="1"/>
  <c r="L68" i="3"/>
  <c r="M68" i="3" s="1"/>
  <c r="L69" i="3"/>
  <c r="M69" i="3" s="1"/>
  <c r="L70" i="3"/>
  <c r="M70" i="3" s="1"/>
  <c r="L71" i="3"/>
  <c r="M71" i="3" s="1"/>
  <c r="L72" i="3"/>
  <c r="M72" i="3" s="1"/>
  <c r="L73" i="3"/>
  <c r="M73" i="3" s="1"/>
  <c r="L74" i="3"/>
  <c r="M74" i="3" s="1"/>
  <c r="L75" i="3"/>
  <c r="M75" i="3" s="1"/>
  <c r="L76" i="3"/>
  <c r="M76" i="3" s="1"/>
  <c r="L77" i="3"/>
  <c r="M77" i="3" s="1"/>
  <c r="L78" i="3"/>
  <c r="M78" i="3" s="1"/>
  <c r="L79" i="3"/>
  <c r="M79" i="3" s="1"/>
  <c r="L80" i="3"/>
  <c r="M80" i="3" s="1"/>
  <c r="L81" i="3"/>
  <c r="M81" i="3" s="1"/>
  <c r="L82" i="3"/>
  <c r="M82" i="3" s="1"/>
  <c r="L83" i="3"/>
  <c r="M83" i="3" s="1"/>
  <c r="L84" i="3"/>
  <c r="M84" i="3" s="1"/>
  <c r="L85" i="3"/>
  <c r="M85" i="3" s="1"/>
  <c r="L86" i="3"/>
  <c r="M86" i="3" s="1"/>
  <c r="L87" i="3"/>
  <c r="M87" i="3" s="1"/>
  <c r="L88" i="3"/>
  <c r="M88" i="3" s="1"/>
  <c r="L89" i="3"/>
  <c r="M89" i="3" s="1"/>
  <c r="L90" i="3"/>
  <c r="M90" i="3" s="1"/>
  <c r="L91" i="3"/>
  <c r="M91" i="3" s="1"/>
  <c r="L92" i="3"/>
  <c r="M92" i="3" s="1"/>
  <c r="L93" i="3"/>
  <c r="M93" i="3" s="1"/>
  <c r="L94" i="3"/>
  <c r="M94" i="3" s="1"/>
  <c r="L95" i="3"/>
  <c r="M95" i="3" s="1"/>
  <c r="L96" i="3"/>
  <c r="M96" i="3" s="1"/>
  <c r="L97" i="3"/>
  <c r="M97" i="3" s="1"/>
  <c r="L98" i="3"/>
  <c r="M98" i="3" s="1"/>
  <c r="L99" i="3"/>
  <c r="M99" i="3" s="1"/>
  <c r="L100" i="3"/>
  <c r="M100" i="3" s="1"/>
  <c r="L101" i="3"/>
  <c r="M101" i="3" s="1"/>
  <c r="L102" i="3"/>
  <c r="M102" i="3" s="1"/>
  <c r="L103" i="3"/>
  <c r="M103" i="3" s="1"/>
</calcChain>
</file>

<file path=xl/sharedStrings.xml><?xml version="1.0" encoding="utf-8"?>
<sst xmlns="http://schemas.openxmlformats.org/spreadsheetml/2006/main" count="1306" uniqueCount="86">
  <si>
    <t>증권사별 주식 포트폴리오 현황</t>
  </si>
  <si>
    <t>증권사</t>
  </si>
  <si>
    <t>시장</t>
  </si>
  <si>
    <t>계좌구분</t>
  </si>
  <si>
    <t>계좌별칭</t>
  </si>
  <si>
    <t>통화</t>
  </si>
  <si>
    <t>투자원금</t>
  </si>
  <si>
    <t>현재평가금</t>
  </si>
  <si>
    <t>평가손익</t>
  </si>
  <si>
    <t>누적수익률</t>
  </si>
  <si>
    <t>현재비중</t>
  </si>
  <si>
    <t>월 입금</t>
  </si>
  <si>
    <t>월 출금</t>
  </si>
  <si>
    <t>배당금</t>
  </si>
  <si>
    <t>비고</t>
  </si>
  <si>
    <t>기준월</t>
  </si>
  <si>
    <t>전체 평가금</t>
  </si>
  <si>
    <t>월 수익률</t>
  </si>
  <si>
    <t>미래에셋</t>
  </si>
  <si>
    <t>국내</t>
  </si>
  <si>
    <t>일반 주식계좌</t>
  </si>
  <si>
    <t>미래에셋-국내</t>
  </si>
  <si>
    <t>KRW</t>
  </si>
  <si>
    <t>해외</t>
  </si>
  <si>
    <t>미래에셋-해외</t>
  </si>
  <si>
    <t>USD</t>
  </si>
  <si>
    <t>KB</t>
  </si>
  <si>
    <t>KB-국내</t>
  </si>
  <si>
    <t>KB-해외</t>
  </si>
  <si>
    <t>삼성</t>
  </si>
  <si>
    <t>삼성-국내</t>
  </si>
  <si>
    <t>삼성-해외</t>
  </si>
  <si>
    <t>NH</t>
  </si>
  <si>
    <t>NH-국내</t>
  </si>
  <si>
    <t>NH-해외</t>
  </si>
  <si>
    <t>키움</t>
  </si>
  <si>
    <t>키움-국내</t>
  </si>
  <si>
    <t>키움-해외</t>
  </si>
  <si>
    <t>대신</t>
  </si>
  <si>
    <t>대신-국내</t>
  </si>
  <si>
    <t>대신-해외</t>
  </si>
  <si>
    <t>SK</t>
  </si>
  <si>
    <t>SK-국내</t>
  </si>
  <si>
    <t>SK-해외</t>
  </si>
  <si>
    <t>합계</t>
  </si>
  <si>
    <t>시장별 성과 요약</t>
  </si>
  <si>
    <t>구분</t>
  </si>
  <si>
    <t>평가금</t>
  </si>
  <si>
    <t>수익률</t>
  </si>
  <si>
    <t>월별 계좌 성과 입력 및 비교 (2026년 10월 시작)</t>
  </si>
  <si>
    <t>월초평가금</t>
  </si>
  <si>
    <t>입금</t>
  </si>
  <si>
    <t>출금</t>
  </si>
  <si>
    <t>월말평가금</t>
  </si>
  <si>
    <t>월수익금</t>
  </si>
  <si>
    <t>월수익률</t>
  </si>
  <si>
    <t>전월대비 증감</t>
  </si>
  <si>
    <t>메모</t>
  </si>
  <si>
    <t>세부 종목 보유현황</t>
  </si>
  <si>
    <t>종목코드</t>
  </si>
  <si>
    <t>종목명</t>
  </si>
  <si>
    <t>수량</t>
  </si>
  <si>
    <t>평균매입가</t>
  </si>
  <si>
    <t>현재가</t>
  </si>
  <si>
    <t>월초가</t>
  </si>
  <si>
    <t>월말가</t>
  </si>
  <si>
    <t>월 주가수익률</t>
  </si>
  <si>
    <t>005930</t>
  </si>
  <si>
    <t>삼성전자</t>
  </si>
  <si>
    <t>000660</t>
  </si>
  <si>
    <t>SK하이닉스</t>
  </si>
  <si>
    <t>시장구분</t>
  </si>
  <si>
    <t>사용 안내</t>
  </si>
  <si>
    <t>① 설정 목록은 자유롭게 추가/수정</t>
  </si>
  <si>
    <t>ISA</t>
  </si>
  <si>
    <t>② 월별 계좌 성과는 2026-10부터 월말 기준 입력</t>
  </si>
  <si>
    <t>연금저축</t>
  </si>
  <si>
    <t>JPY</t>
  </si>
  <si>
    <t>③ 입금/출금은 투자성과와 분리</t>
  </si>
  <si>
    <t>IRP</t>
  </si>
  <si>
    <t>EUR</t>
  </si>
  <si>
    <t>④ 해외계좌는 원화 환산 평가금 기준</t>
  </si>
  <si>
    <t>CMA</t>
  </si>
  <si>
    <t>CNY</t>
  </si>
  <si>
    <t>위탁계좌</t>
  </si>
  <si>
    <t>기타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</si>
</sst>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#,##0;[Red]\(#,##0\);\-"/>
    <numFmt numFmtId="177" formatCode="0.0%;[Red]\(0.0%\);\-"/>
    <numFmt numFmtId="178" formatCode="yyyy\-mm"/>
    <numFmt numFmtId="179" formatCode="#,##0.00;[Red]\(#,##0.00\);\-"/>
    <numFmt numFmtId="180" formatCode="0.0%"/>
  </numFmts>
  <fonts count="9">
    <font>
      <sz val="11"/>
      <name val="Carlito"/>
    </font>
    <font>
      <b/>
      <sz val="11"/>
      <color rgb="FFFFFFFF"/>
      <name val="Carlito"/>
    </font>
    <font>
      <b/>
      <sz val="20"/>
      <color rgb="FF7030A0"/>
      <name val="Carlito"/>
    </font>
    <font>
      <b/>
      <sz val="11"/>
      <name val="Carlito"/>
    </font>
    <font>
      <sz val="11"/>
      <color rgb="FF0000FF"/>
      <name val="Carlito"/>
    </font>
    <font>
      <sz val="11"/>
      <color rgb="FF000000"/>
      <name val="Carlito"/>
    </font>
    <font>
      <b/>
      <sz val="11"/>
      <color rgb="FF000000"/>
      <name val="Carlito"/>
    </font>
    <font>
      <b/>
      <sz val="19"/>
      <color rgb="FF7030A0"/>
      <name val="Carlito"/>
    </font>
    <font>
      <sz val="11"/>
      <name val="Carlito"/>
    </font>
  </fonts>
  <fills count="6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F3EAF7"/>
      </patternFill>
    </fill>
    <fill>
      <patternFill patternType="solid">
        <fgColor rgb="FF4B1E6D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2">
    <xf numFmtId="0" fontId="0" fillId="0" borderId="0"/>
    <xf numFmtId="0" fontId="8" fillId="0" borderId="0"/>
  </cellStyleXfs>
  <cellXfs count="22">
    <xf numFmtId="0" fontId="0" fillId="0" borderId="0" xfId="0"/>
    <xf numFmtId="0" fontId="1" fillId="2" borderId="0" xfId="1" applyFont="1" applyFill="1"/>
    <xf numFmtId="0" fontId="1" fillId="2" borderId="0" xfId="1" applyFont="1" applyFill="1" applyAlignment="1">
      <alignment horizontal="center"/>
    </xf>
    <xf numFmtId="0" fontId="3" fillId="3" borderId="1" xfId="1" applyFont="1" applyFill="1" applyBorder="1"/>
    <xf numFmtId="176" fontId="0" fillId="0" borderId="0" xfId="1" applyNumberFormat="1" applyFont="1"/>
    <xf numFmtId="176" fontId="3" fillId="3" borderId="1" xfId="1" applyNumberFormat="1" applyFont="1" applyFill="1" applyBorder="1"/>
    <xf numFmtId="177" fontId="0" fillId="0" borderId="0" xfId="1" applyNumberFormat="1" applyFont="1"/>
    <xf numFmtId="176" fontId="4" fillId="0" borderId="0" xfId="1" applyNumberFormat="1" applyFont="1"/>
    <xf numFmtId="0" fontId="4" fillId="0" borderId="0" xfId="1" applyFont="1"/>
    <xf numFmtId="176" fontId="5" fillId="0" borderId="0" xfId="1" applyNumberFormat="1" applyFont="1"/>
    <xf numFmtId="177" fontId="5" fillId="0" borderId="0" xfId="1" applyNumberFormat="1" applyFont="1"/>
    <xf numFmtId="176" fontId="6" fillId="3" borderId="1" xfId="1" applyNumberFormat="1" applyFont="1" applyFill="1" applyBorder="1"/>
    <xf numFmtId="177" fontId="6" fillId="3" borderId="1" xfId="1" applyNumberFormat="1" applyFont="1" applyFill="1" applyBorder="1"/>
    <xf numFmtId="178" fontId="0" fillId="0" borderId="0" xfId="1" applyNumberFormat="1" applyFont="1"/>
    <xf numFmtId="179" fontId="0" fillId="0" borderId="0" xfId="1" applyNumberFormat="1" applyFont="1"/>
    <xf numFmtId="179" fontId="4" fillId="0" borderId="0" xfId="1" applyNumberFormat="1" applyFont="1"/>
    <xf numFmtId="180" fontId="0" fillId="0" borderId="0" xfId="1" applyNumberFormat="1" applyFont="1"/>
    <xf numFmtId="179" fontId="4" fillId="5" borderId="0" xfId="1" applyNumberFormat="1" applyFont="1" applyFill="1"/>
    <xf numFmtId="0" fontId="2" fillId="0" borderId="0" xfId="1" applyFont="1" applyAlignment="1">
      <alignment horizontal="center"/>
    </xf>
    <xf numFmtId="0" fontId="1" fillId="4" borderId="0" xfId="1" applyFont="1" applyFill="1" applyAlignment="1">
      <alignment horizontal="center"/>
    </xf>
    <xf numFmtId="0" fontId="7" fillId="0" borderId="0" xfId="1" applyFont="1" applyAlignment="1">
      <alignment horizontal="center"/>
    </xf>
    <xf numFmtId="0" fontId="4" fillId="5" borderId="0" xfId="1" applyFont="1" applyFill="1"/>
  </cellXfs>
  <cellStyles count="2">
    <cellStyle name="Normal" xfId="1" xr:uid="{00000000-0005-0000-0000-000000000000}"/>
    <cellStyle name="표준" xfId="0" builtinId="0"/>
  </cellStyles>
  <dxfs count="2">
    <dxf>
      <font>
        <color rgb="FFC00000"/>
      </font>
    </dxf>
    <dxf>
      <font>
        <color rgb="FFC0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1"/>
  <c:style val="2"/>
  <c:chart>
    <c:title>
      <c:tx>
        <c:rich>
          <a:bodyPr/>
          <a:lstStyle/>
          <a:p>
            <a:r>
              <a:rPr lang="ko-KR" altLang="en-US"/>
              <a:t>증권사</a:t>
            </a:r>
            <a:r>
              <a:rPr lang="en-US" altLang="ko-KR"/>
              <a:t>·</a:t>
            </a:r>
            <a:r>
              <a:rPr lang="ko-KR" altLang="en-US"/>
              <a:t>시장별 현재 평가금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v>시장</c:v>
          </c:tx>
          <c:invertIfNegative val="1"/>
          <c:cat>
            <c:strRef>
              <c:f>'포트폴리오 현황'!$A$4:$A$17</c:f>
              <c:strCache>
                <c:ptCount val="14"/>
                <c:pt idx="0">
                  <c:v>미래에셋</c:v>
                </c:pt>
                <c:pt idx="1">
                  <c:v>미래에셋</c:v>
                </c:pt>
                <c:pt idx="2">
                  <c:v>KB</c:v>
                </c:pt>
                <c:pt idx="3">
                  <c:v>KB</c:v>
                </c:pt>
                <c:pt idx="4">
                  <c:v>삼성</c:v>
                </c:pt>
                <c:pt idx="5">
                  <c:v>삼성</c:v>
                </c:pt>
                <c:pt idx="6">
                  <c:v>NH</c:v>
                </c:pt>
                <c:pt idx="7">
                  <c:v>NH</c:v>
                </c:pt>
                <c:pt idx="8">
                  <c:v>키움</c:v>
                </c:pt>
                <c:pt idx="9">
                  <c:v>키움</c:v>
                </c:pt>
                <c:pt idx="10">
                  <c:v>대신</c:v>
                </c:pt>
                <c:pt idx="11">
                  <c:v>대신</c:v>
                </c:pt>
                <c:pt idx="12">
                  <c:v>SK</c:v>
                </c:pt>
                <c:pt idx="13">
                  <c:v>SK</c:v>
                </c:pt>
              </c:strCache>
            </c:strRef>
          </c:cat>
          <c:val>
            <c:numRef>
              <c:f>'포트폴리오 현황'!$B$4:$B$17</c:f>
              <c:numCache>
                <c:formatCode>General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D9E-484E-BD2F-76ADEDB5D6D9}"/>
            </c:ext>
          </c:extLst>
        </c:ser>
        <c:ser>
          <c:idx val="1"/>
          <c:order val="1"/>
          <c:tx>
            <c:v>계좌구분</c:v>
          </c:tx>
          <c:invertIfNegative val="1"/>
          <c:cat>
            <c:strRef>
              <c:f>'포트폴리오 현황'!$A$4:$A$17</c:f>
              <c:strCache>
                <c:ptCount val="14"/>
                <c:pt idx="0">
                  <c:v>미래에셋</c:v>
                </c:pt>
                <c:pt idx="1">
                  <c:v>미래에셋</c:v>
                </c:pt>
                <c:pt idx="2">
                  <c:v>KB</c:v>
                </c:pt>
                <c:pt idx="3">
                  <c:v>KB</c:v>
                </c:pt>
                <c:pt idx="4">
                  <c:v>삼성</c:v>
                </c:pt>
                <c:pt idx="5">
                  <c:v>삼성</c:v>
                </c:pt>
                <c:pt idx="6">
                  <c:v>NH</c:v>
                </c:pt>
                <c:pt idx="7">
                  <c:v>NH</c:v>
                </c:pt>
                <c:pt idx="8">
                  <c:v>키움</c:v>
                </c:pt>
                <c:pt idx="9">
                  <c:v>키움</c:v>
                </c:pt>
                <c:pt idx="10">
                  <c:v>대신</c:v>
                </c:pt>
                <c:pt idx="11">
                  <c:v>대신</c:v>
                </c:pt>
                <c:pt idx="12">
                  <c:v>SK</c:v>
                </c:pt>
                <c:pt idx="13">
                  <c:v>SK</c:v>
                </c:pt>
              </c:strCache>
            </c:strRef>
          </c:cat>
          <c:val>
            <c:numRef>
              <c:f>'포트폴리오 현황'!$C$4:$C$17</c:f>
              <c:numCache>
                <c:formatCode>General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D9E-484E-BD2F-76ADEDB5D6D9}"/>
            </c:ext>
          </c:extLst>
        </c:ser>
        <c:ser>
          <c:idx val="2"/>
          <c:order val="2"/>
          <c:tx>
            <c:v>계좌별칭</c:v>
          </c:tx>
          <c:invertIfNegative val="1"/>
          <c:cat>
            <c:strRef>
              <c:f>'포트폴리오 현황'!$A$4:$A$17</c:f>
              <c:strCache>
                <c:ptCount val="14"/>
                <c:pt idx="0">
                  <c:v>미래에셋</c:v>
                </c:pt>
                <c:pt idx="1">
                  <c:v>미래에셋</c:v>
                </c:pt>
                <c:pt idx="2">
                  <c:v>KB</c:v>
                </c:pt>
                <c:pt idx="3">
                  <c:v>KB</c:v>
                </c:pt>
                <c:pt idx="4">
                  <c:v>삼성</c:v>
                </c:pt>
                <c:pt idx="5">
                  <c:v>삼성</c:v>
                </c:pt>
                <c:pt idx="6">
                  <c:v>NH</c:v>
                </c:pt>
                <c:pt idx="7">
                  <c:v>NH</c:v>
                </c:pt>
                <c:pt idx="8">
                  <c:v>키움</c:v>
                </c:pt>
                <c:pt idx="9">
                  <c:v>키움</c:v>
                </c:pt>
                <c:pt idx="10">
                  <c:v>대신</c:v>
                </c:pt>
                <c:pt idx="11">
                  <c:v>대신</c:v>
                </c:pt>
                <c:pt idx="12">
                  <c:v>SK</c:v>
                </c:pt>
                <c:pt idx="13">
                  <c:v>SK</c:v>
                </c:pt>
              </c:strCache>
            </c:strRef>
          </c:cat>
          <c:val>
            <c:numRef>
              <c:f>'포트폴리오 현황'!$D$4:$D$17</c:f>
              <c:numCache>
                <c:formatCode>General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D9E-484E-BD2F-76ADEDB5D6D9}"/>
            </c:ext>
          </c:extLst>
        </c:ser>
        <c:ser>
          <c:idx val="3"/>
          <c:order val="3"/>
          <c:tx>
            <c:v>통화</c:v>
          </c:tx>
          <c:invertIfNegative val="1"/>
          <c:cat>
            <c:strRef>
              <c:f>'포트폴리오 현황'!$A$4:$A$17</c:f>
              <c:strCache>
                <c:ptCount val="14"/>
                <c:pt idx="0">
                  <c:v>미래에셋</c:v>
                </c:pt>
                <c:pt idx="1">
                  <c:v>미래에셋</c:v>
                </c:pt>
                <c:pt idx="2">
                  <c:v>KB</c:v>
                </c:pt>
                <c:pt idx="3">
                  <c:v>KB</c:v>
                </c:pt>
                <c:pt idx="4">
                  <c:v>삼성</c:v>
                </c:pt>
                <c:pt idx="5">
                  <c:v>삼성</c:v>
                </c:pt>
                <c:pt idx="6">
                  <c:v>NH</c:v>
                </c:pt>
                <c:pt idx="7">
                  <c:v>NH</c:v>
                </c:pt>
                <c:pt idx="8">
                  <c:v>키움</c:v>
                </c:pt>
                <c:pt idx="9">
                  <c:v>키움</c:v>
                </c:pt>
                <c:pt idx="10">
                  <c:v>대신</c:v>
                </c:pt>
                <c:pt idx="11">
                  <c:v>대신</c:v>
                </c:pt>
                <c:pt idx="12">
                  <c:v>SK</c:v>
                </c:pt>
                <c:pt idx="13">
                  <c:v>SK</c:v>
                </c:pt>
              </c:strCache>
            </c:strRef>
          </c:cat>
          <c:val>
            <c:numRef>
              <c:f>'포트폴리오 현황'!$E$4:$E$17</c:f>
              <c:numCache>
                <c:formatCode>General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D9E-484E-BD2F-76ADEDB5D6D9}"/>
            </c:ext>
          </c:extLst>
        </c:ser>
        <c:ser>
          <c:idx val="4"/>
          <c:order val="4"/>
          <c:tx>
            <c:v>투자원금</c:v>
          </c:tx>
          <c:invertIfNegative val="1"/>
          <c:cat>
            <c:strRef>
              <c:f>'포트폴리오 현황'!$A$4:$A$17</c:f>
              <c:strCache>
                <c:ptCount val="14"/>
                <c:pt idx="0">
                  <c:v>미래에셋</c:v>
                </c:pt>
                <c:pt idx="1">
                  <c:v>미래에셋</c:v>
                </c:pt>
                <c:pt idx="2">
                  <c:v>KB</c:v>
                </c:pt>
                <c:pt idx="3">
                  <c:v>KB</c:v>
                </c:pt>
                <c:pt idx="4">
                  <c:v>삼성</c:v>
                </c:pt>
                <c:pt idx="5">
                  <c:v>삼성</c:v>
                </c:pt>
                <c:pt idx="6">
                  <c:v>NH</c:v>
                </c:pt>
                <c:pt idx="7">
                  <c:v>NH</c:v>
                </c:pt>
                <c:pt idx="8">
                  <c:v>키움</c:v>
                </c:pt>
                <c:pt idx="9">
                  <c:v>키움</c:v>
                </c:pt>
                <c:pt idx="10">
                  <c:v>대신</c:v>
                </c:pt>
                <c:pt idx="11">
                  <c:v>대신</c:v>
                </c:pt>
                <c:pt idx="12">
                  <c:v>SK</c:v>
                </c:pt>
                <c:pt idx="13">
                  <c:v>SK</c:v>
                </c:pt>
              </c:strCache>
            </c:strRef>
          </c:cat>
          <c:val>
            <c:numRef>
              <c:f>'포트폴리오 현황'!$F$4:$F$17</c:f>
              <c:numCache>
                <c:formatCode>#,##0;[Red]\(#,##0\);\-</c:formatCode>
                <c:ptCount val="14"/>
              </c:numCache>
            </c:numRef>
          </c:val>
          <c:extLst>
            <c:ext xmlns:c16="http://schemas.microsoft.com/office/drawing/2014/chart" uri="{C3380CC4-5D6E-409C-BE32-E72D297353CC}">
              <c16:uniqueId val="{00000004-FD9E-484E-BD2F-76ADEDB5D6D9}"/>
            </c:ext>
          </c:extLst>
        </c:ser>
        <c:ser>
          <c:idx val="5"/>
          <c:order val="5"/>
          <c:tx>
            <c:v>현재평가금</c:v>
          </c:tx>
          <c:invertIfNegative val="1"/>
          <c:cat>
            <c:strRef>
              <c:f>'포트폴리오 현황'!$A$4:$A$17</c:f>
              <c:strCache>
                <c:ptCount val="14"/>
                <c:pt idx="0">
                  <c:v>미래에셋</c:v>
                </c:pt>
                <c:pt idx="1">
                  <c:v>미래에셋</c:v>
                </c:pt>
                <c:pt idx="2">
                  <c:v>KB</c:v>
                </c:pt>
                <c:pt idx="3">
                  <c:v>KB</c:v>
                </c:pt>
                <c:pt idx="4">
                  <c:v>삼성</c:v>
                </c:pt>
                <c:pt idx="5">
                  <c:v>삼성</c:v>
                </c:pt>
                <c:pt idx="6">
                  <c:v>NH</c:v>
                </c:pt>
                <c:pt idx="7">
                  <c:v>NH</c:v>
                </c:pt>
                <c:pt idx="8">
                  <c:v>키움</c:v>
                </c:pt>
                <c:pt idx="9">
                  <c:v>키움</c:v>
                </c:pt>
                <c:pt idx="10">
                  <c:v>대신</c:v>
                </c:pt>
                <c:pt idx="11">
                  <c:v>대신</c:v>
                </c:pt>
                <c:pt idx="12">
                  <c:v>SK</c:v>
                </c:pt>
                <c:pt idx="13">
                  <c:v>SK</c:v>
                </c:pt>
              </c:strCache>
            </c:strRef>
          </c:cat>
          <c:val>
            <c:numRef>
              <c:f>'포트폴리오 현황'!$G$4:$G$17</c:f>
              <c:numCache>
                <c:formatCode>#,##0;[Red]\(#,##0\);\-</c:formatCode>
                <c:ptCount val="14"/>
              </c:numCache>
            </c:numRef>
          </c:val>
          <c:extLst>
            <c:ext xmlns:c16="http://schemas.microsoft.com/office/drawing/2014/chart" uri="{C3380CC4-5D6E-409C-BE32-E72D297353CC}">
              <c16:uniqueId val="{00000005-FD9E-484E-BD2F-76ADEDB5D6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1"/>
  <c:style val="2"/>
  <c:chart>
    <c:title>
      <c:tx>
        <c:rich>
          <a:bodyPr/>
          <a:lstStyle/>
          <a:p>
            <a:r>
              <a:rPr lang="ko-KR" altLang="en-US"/>
              <a:t>국내</a:t>
            </a:r>
            <a:r>
              <a:rPr lang="en-US" altLang="ko-KR"/>
              <a:t>/</a:t>
            </a:r>
            <a:r>
              <a:rPr lang="ko-KR" altLang="en-US"/>
              <a:t>해외 평가금 비교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v>평가금</c:v>
          </c:tx>
          <c:invertIfNegative val="1"/>
          <c:cat>
            <c:strRef>
              <c:f>'포트폴리오 현황'!$A$23:$A$24</c:f>
              <c:strCache>
                <c:ptCount val="2"/>
                <c:pt idx="0">
                  <c:v>국내</c:v>
                </c:pt>
                <c:pt idx="1">
                  <c:v>해외</c:v>
                </c:pt>
              </c:strCache>
            </c:strRef>
          </c:cat>
          <c:val>
            <c:numRef>
              <c:f>'포트폴리오 현황'!$B$23:$B$24</c:f>
              <c:numCache>
                <c:formatCode>#,##0;[Red]\(#,##0\);\-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A72-4DEE-9DFF-1AC7F7A62D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</a:ln>
          </c:spPr>
        </c:majorGridlines>
        <c:numFmt formatCode="#,##0;[Red]\(#,##0\);\-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1"/>
  <c:style val="2"/>
  <c:chart>
    <c:title>
      <c:tx>
        <c:rich>
          <a:bodyPr/>
          <a:lstStyle/>
          <a:p>
            <a:r>
              <a:t>월별 전체 주식 평가금 및 수익률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전체 평가금</c:v>
          </c:tx>
          <c:cat>
            <c:numRef>
              <c:f>'포트폴리오 현황'!$P$4:$P$18</c:f>
              <c:numCache>
                <c:formatCode>yyyy\-mm</c:formatCode>
                <c:ptCount val="15"/>
                <c:pt idx="0">
                  <c:v>46296</c:v>
                </c:pt>
                <c:pt idx="1">
                  <c:v>46327</c:v>
                </c:pt>
                <c:pt idx="2">
                  <c:v>46357</c:v>
                </c:pt>
                <c:pt idx="3">
                  <c:v>46388</c:v>
                </c:pt>
                <c:pt idx="4">
                  <c:v>46419</c:v>
                </c:pt>
                <c:pt idx="5">
                  <c:v>46447</c:v>
                </c:pt>
                <c:pt idx="6">
                  <c:v>46478</c:v>
                </c:pt>
                <c:pt idx="7">
                  <c:v>46508</c:v>
                </c:pt>
                <c:pt idx="8">
                  <c:v>46539</c:v>
                </c:pt>
                <c:pt idx="9">
                  <c:v>46569</c:v>
                </c:pt>
                <c:pt idx="10">
                  <c:v>46600</c:v>
                </c:pt>
                <c:pt idx="11">
                  <c:v>46631</c:v>
                </c:pt>
                <c:pt idx="12">
                  <c:v>46661</c:v>
                </c:pt>
                <c:pt idx="13">
                  <c:v>46692</c:v>
                </c:pt>
                <c:pt idx="14">
                  <c:v>46722</c:v>
                </c:pt>
              </c:numCache>
            </c:numRef>
          </c:cat>
          <c:val>
            <c:numRef>
              <c:f>'포트폴리오 현황'!$Q$4:$Q$18</c:f>
              <c:numCache>
                <c:formatCode>General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279-40E5-81BB-A01A425A9E88}"/>
            </c:ext>
          </c:extLst>
        </c:ser>
        <c:ser>
          <c:idx val="1"/>
          <c:order val="1"/>
          <c:tx>
            <c:v>월 수익률</c:v>
          </c:tx>
          <c:cat>
            <c:numRef>
              <c:f>'포트폴리오 현황'!$P$4:$P$18</c:f>
              <c:numCache>
                <c:formatCode>yyyy\-mm</c:formatCode>
                <c:ptCount val="15"/>
                <c:pt idx="0">
                  <c:v>46296</c:v>
                </c:pt>
                <c:pt idx="1">
                  <c:v>46327</c:v>
                </c:pt>
                <c:pt idx="2">
                  <c:v>46357</c:v>
                </c:pt>
                <c:pt idx="3">
                  <c:v>46388</c:v>
                </c:pt>
                <c:pt idx="4">
                  <c:v>46419</c:v>
                </c:pt>
                <c:pt idx="5">
                  <c:v>46447</c:v>
                </c:pt>
                <c:pt idx="6">
                  <c:v>46478</c:v>
                </c:pt>
                <c:pt idx="7">
                  <c:v>46508</c:v>
                </c:pt>
                <c:pt idx="8">
                  <c:v>46539</c:v>
                </c:pt>
                <c:pt idx="9">
                  <c:v>46569</c:v>
                </c:pt>
                <c:pt idx="10">
                  <c:v>46600</c:v>
                </c:pt>
                <c:pt idx="11">
                  <c:v>46631</c:v>
                </c:pt>
                <c:pt idx="12">
                  <c:v>46661</c:v>
                </c:pt>
                <c:pt idx="13">
                  <c:v>46692</c:v>
                </c:pt>
                <c:pt idx="14">
                  <c:v>46722</c:v>
                </c:pt>
              </c:numCache>
            </c:numRef>
          </c:cat>
          <c:val>
            <c:numRef>
              <c:f>'포트폴리오 현황'!$R$4:$R$18</c:f>
              <c:numCache>
                <c:formatCode>0.0%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279-40E5-81BB-A01A425A9E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8650112"/>
        <c:axId val="48672768"/>
      </c:lineChart>
      <c:date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</a:ln>
          </c:spPr>
        </c:majorGridlines>
        <c:numFmt formatCode="yyyy\-mm" sourceLinked="1"/>
        <c:majorTickMark val="none"/>
        <c:minorTickMark val="none"/>
        <c:tickLblPos val="nextTo"/>
        <c:crossAx val="48672768"/>
        <c:crosses val="autoZero"/>
        <c:auto val="1"/>
        <c:lblOffset val="100"/>
        <c:baseTimeUnit val="months"/>
      </c:date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  <c:txPr>
        <a:bodyPr anchorCtr="1"/>
        <a:lstStyle/>
        <a:p>
          <a:pPr>
            <a:defRPr/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20</xdr:row>
      <xdr:rowOff>0</xdr:rowOff>
    </xdr:from>
    <xdr:to>
      <xdr:col>14</xdr:col>
      <xdr:colOff>0</xdr:colOff>
      <xdr:row>36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26</xdr:row>
      <xdr:rowOff>0</xdr:rowOff>
    </xdr:from>
    <xdr:to>
      <xdr:col>5</xdr:col>
      <xdr:colOff>0</xdr:colOff>
      <xdr:row>39</xdr:row>
      <xdr:rowOff>0</xdr:rowOff>
    </xdr:to>
    <xdr:graphicFrame macro="">
      <xdr:nvGraphicFramePr>
        <xdr:cNvPr id="3" name="Chart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0</xdr:colOff>
      <xdr:row>37</xdr:row>
      <xdr:rowOff>0</xdr:rowOff>
    </xdr:from>
    <xdr:to>
      <xdr:col>14</xdr:col>
      <xdr:colOff>0</xdr:colOff>
      <xdr:row>55</xdr:row>
      <xdr:rowOff>0</xdr:rowOff>
    </xdr:to>
    <xdr:graphicFrame macro="">
      <xdr:nvGraphicFramePr>
        <xdr:cNvPr id="4" name="Chart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4"/>
  <sheetViews>
    <sheetView tabSelected="1" zoomScaleNormal="100" zoomScaleSheetLayoutView="100" workbookViewId="0"/>
  </sheetViews>
  <sheetFormatPr defaultRowHeight="15"/>
  <cols>
    <col min="1" max="1" width="12" customWidth="1"/>
    <col min="2" max="2" width="9" customWidth="1"/>
    <col min="3" max="3" width="16" customWidth="1"/>
    <col min="4" max="4" width="17" customWidth="1"/>
    <col min="5" max="5" width="9" customWidth="1"/>
    <col min="6" max="8" width="13" customWidth="1"/>
    <col min="9" max="10" width="11" customWidth="1"/>
    <col min="11" max="12" width="12" customWidth="1"/>
    <col min="13" max="13" width="11" customWidth="1"/>
    <col min="14" max="14" width="18" customWidth="1"/>
  </cols>
  <sheetData>
    <row r="1" spans="1:18" ht="33.950000000000003" customHeight="1">
      <c r="A1" s="18" t="s">
        <v>0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</row>
    <row r="3" spans="1:18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P3" t="s">
        <v>15</v>
      </c>
      <c r="Q3" t="s">
        <v>16</v>
      </c>
      <c r="R3" t="s">
        <v>17</v>
      </c>
    </row>
    <row r="4" spans="1:18">
      <c r="A4" s="21" t="s">
        <v>18</v>
      </c>
      <c r="B4" s="21" t="s">
        <v>19</v>
      </c>
      <c r="C4" s="21" t="s">
        <v>20</v>
      </c>
      <c r="D4" s="21" t="s">
        <v>21</v>
      </c>
      <c r="E4" s="21" t="s">
        <v>22</v>
      </c>
      <c r="F4" s="7"/>
      <c r="G4" s="7"/>
      <c r="H4" s="9">
        <f>IFERROR(G4-F4,0)</f>
        <v>0</v>
      </c>
      <c r="I4" s="10">
        <f>IFERROR(H4/F4,0)</f>
        <v>0</v>
      </c>
      <c r="J4" s="10">
        <f>IFERROR(G4/SUM($G$4:$G$17),0)</f>
        <v>0</v>
      </c>
      <c r="K4" s="7"/>
      <c r="L4" s="7"/>
      <c r="M4" s="7"/>
      <c r="N4" s="8"/>
      <c r="P4" s="13">
        <v>46296</v>
      </c>
      <c r="Q4">
        <f>SUM('월별 계좌 성과'!I4:I17)</f>
        <v>0</v>
      </c>
      <c r="R4" s="16">
        <f>IFERROR(SUM('월별 계좌 성과'!J4:J17)/(SUM('월별 계좌 성과'!E4:E17)+SUM('월별 계좌 성과'!F4:F17)),0)</f>
        <v>0</v>
      </c>
    </row>
    <row r="5" spans="1:18">
      <c r="A5" s="21" t="s">
        <v>18</v>
      </c>
      <c r="B5" s="21" t="s">
        <v>23</v>
      </c>
      <c r="C5" s="21" t="s">
        <v>20</v>
      </c>
      <c r="D5" s="21" t="s">
        <v>24</v>
      </c>
      <c r="E5" s="21" t="s">
        <v>25</v>
      </c>
      <c r="F5" s="7"/>
      <c r="G5" s="7"/>
      <c r="H5" s="9">
        <f>IFERROR(G5-F5,0)</f>
        <v>0</v>
      </c>
      <c r="I5" s="10">
        <f>IFERROR(H5/F5,0)</f>
        <v>0</v>
      </c>
      <c r="J5" s="10">
        <f>IFERROR(G5/SUM($G$4:$G$17),0)</f>
        <v>0</v>
      </c>
      <c r="K5" s="7"/>
      <c r="L5" s="7"/>
      <c r="M5" s="7"/>
      <c r="N5" s="8"/>
      <c r="P5" s="13">
        <v>46327</v>
      </c>
      <c r="Q5">
        <f>SUM('월별 계좌 성과'!I18:I31)</f>
        <v>0</v>
      </c>
      <c r="R5" s="16">
        <f>IFERROR(SUM('월별 계좌 성과'!J18:J31)/(SUM('월별 계좌 성과'!E18:E31)+SUM('월별 계좌 성과'!F18:F31)),0)</f>
        <v>0</v>
      </c>
    </row>
    <row r="6" spans="1:18">
      <c r="A6" s="21" t="s">
        <v>26</v>
      </c>
      <c r="B6" s="21" t="s">
        <v>19</v>
      </c>
      <c r="C6" s="21" t="s">
        <v>20</v>
      </c>
      <c r="D6" s="21" t="s">
        <v>27</v>
      </c>
      <c r="E6" s="21" t="s">
        <v>22</v>
      </c>
      <c r="F6" s="7"/>
      <c r="G6" s="7"/>
      <c r="H6" s="9">
        <f>IFERROR(G6-F6,0)</f>
        <v>0</v>
      </c>
      <c r="I6" s="10">
        <f>IFERROR(H6/F6,0)</f>
        <v>0</v>
      </c>
      <c r="J6" s="10">
        <f>IFERROR(G6/SUM($G$4:$G$17),0)</f>
        <v>0</v>
      </c>
      <c r="K6" s="7"/>
      <c r="L6" s="7"/>
      <c r="M6" s="7"/>
      <c r="N6" s="8"/>
      <c r="P6" s="13">
        <v>46357</v>
      </c>
      <c r="Q6">
        <f>SUM('월별 계좌 성과'!I32:I45)</f>
        <v>0</v>
      </c>
      <c r="R6" s="16">
        <f>IFERROR(SUM('월별 계좌 성과'!J32:J45)/(SUM('월별 계좌 성과'!E32:E45)+SUM('월별 계좌 성과'!F32:F45)),0)</f>
        <v>0</v>
      </c>
    </row>
    <row r="7" spans="1:18">
      <c r="A7" s="21" t="s">
        <v>26</v>
      </c>
      <c r="B7" s="21" t="s">
        <v>23</v>
      </c>
      <c r="C7" s="21" t="s">
        <v>20</v>
      </c>
      <c r="D7" s="21" t="s">
        <v>28</v>
      </c>
      <c r="E7" s="21" t="s">
        <v>25</v>
      </c>
      <c r="F7" s="7"/>
      <c r="G7" s="7"/>
      <c r="H7" s="9">
        <f>IFERROR(G7-F7,0)</f>
        <v>0</v>
      </c>
      <c r="I7" s="10">
        <f>IFERROR(H7/F7,0)</f>
        <v>0</v>
      </c>
      <c r="J7" s="10">
        <f>IFERROR(G7/SUM($G$4:$G$17),0)</f>
        <v>0</v>
      </c>
      <c r="K7" s="7"/>
      <c r="L7" s="7"/>
      <c r="M7" s="7"/>
      <c r="N7" s="8"/>
      <c r="P7" s="13">
        <v>46388</v>
      </c>
      <c r="Q7">
        <f>SUM('월별 계좌 성과'!I46:I59)</f>
        <v>0</v>
      </c>
      <c r="R7" s="16">
        <f>IFERROR(SUM('월별 계좌 성과'!J46:J59)/(SUM('월별 계좌 성과'!E46:E59)+SUM('월별 계좌 성과'!F46:F59)),0)</f>
        <v>0</v>
      </c>
    </row>
    <row r="8" spans="1:18">
      <c r="A8" s="21" t="s">
        <v>29</v>
      </c>
      <c r="B8" s="21" t="s">
        <v>19</v>
      </c>
      <c r="C8" s="21" t="s">
        <v>20</v>
      </c>
      <c r="D8" s="21" t="s">
        <v>30</v>
      </c>
      <c r="E8" s="21" t="s">
        <v>22</v>
      </c>
      <c r="F8" s="7"/>
      <c r="G8" s="7"/>
      <c r="H8" s="9">
        <f>IFERROR(G8-F8,0)</f>
        <v>0</v>
      </c>
      <c r="I8" s="10">
        <f>IFERROR(H8/F8,0)</f>
        <v>0</v>
      </c>
      <c r="J8" s="10">
        <f>IFERROR(G8/SUM($G$4:$G$17),0)</f>
        <v>0</v>
      </c>
      <c r="K8" s="7"/>
      <c r="L8" s="7"/>
      <c r="M8" s="7"/>
      <c r="N8" s="8"/>
      <c r="P8" s="13">
        <v>46419</v>
      </c>
      <c r="Q8">
        <f>SUM('월별 계좌 성과'!I60:I73)</f>
        <v>0</v>
      </c>
      <c r="R8" s="16">
        <f>IFERROR(SUM('월별 계좌 성과'!J60:J73)/(SUM('월별 계좌 성과'!E60:E73)+SUM('월별 계좌 성과'!F60:F73)),0)</f>
        <v>0</v>
      </c>
    </row>
    <row r="9" spans="1:18">
      <c r="A9" s="21" t="s">
        <v>29</v>
      </c>
      <c r="B9" s="21" t="s">
        <v>23</v>
      </c>
      <c r="C9" s="21" t="s">
        <v>20</v>
      </c>
      <c r="D9" s="21" t="s">
        <v>31</v>
      </c>
      <c r="E9" s="21" t="s">
        <v>25</v>
      </c>
      <c r="F9" s="7"/>
      <c r="G9" s="7"/>
      <c r="H9" s="9">
        <f>IFERROR(G9-F9,0)</f>
        <v>0</v>
      </c>
      <c r="I9" s="10">
        <f>IFERROR(H9/F9,0)</f>
        <v>0</v>
      </c>
      <c r="J9" s="10">
        <f>IFERROR(G9/SUM($G$4:$G$17),0)</f>
        <v>0</v>
      </c>
      <c r="K9" s="7"/>
      <c r="L9" s="7"/>
      <c r="M9" s="7"/>
      <c r="N9" s="8"/>
      <c r="P9" s="13">
        <v>46447</v>
      </c>
      <c r="Q9">
        <f>SUM('월별 계좌 성과'!I74:I87)</f>
        <v>0</v>
      </c>
      <c r="R9" s="16">
        <f>IFERROR(SUM('월별 계좌 성과'!J74:J87)/(SUM('월별 계좌 성과'!E74:E87)+SUM('월별 계좌 성과'!F74:F87)),0)</f>
        <v>0</v>
      </c>
    </row>
    <row r="10" spans="1:18">
      <c r="A10" s="21" t="s">
        <v>32</v>
      </c>
      <c r="B10" s="21" t="s">
        <v>19</v>
      </c>
      <c r="C10" s="21" t="s">
        <v>20</v>
      </c>
      <c r="D10" s="21" t="s">
        <v>33</v>
      </c>
      <c r="E10" s="21" t="s">
        <v>22</v>
      </c>
      <c r="F10" s="7"/>
      <c r="G10" s="7"/>
      <c r="H10" s="9">
        <f>IFERROR(G10-F10,0)</f>
        <v>0</v>
      </c>
      <c r="I10" s="10">
        <f>IFERROR(H10/F10,0)</f>
        <v>0</v>
      </c>
      <c r="J10" s="10">
        <f>IFERROR(G10/SUM($G$4:$G$17),0)</f>
        <v>0</v>
      </c>
      <c r="K10" s="7"/>
      <c r="L10" s="7"/>
      <c r="M10" s="7"/>
      <c r="N10" s="8"/>
      <c r="P10" s="13">
        <v>46478</v>
      </c>
      <c r="Q10">
        <f>SUM('월별 계좌 성과'!I88:I101)</f>
        <v>0</v>
      </c>
      <c r="R10" s="16">
        <f>IFERROR(SUM('월별 계좌 성과'!J88:J101)/(SUM('월별 계좌 성과'!E88:E101)+SUM('월별 계좌 성과'!F88:F101)),0)</f>
        <v>0</v>
      </c>
    </row>
    <row r="11" spans="1:18">
      <c r="A11" s="21" t="s">
        <v>32</v>
      </c>
      <c r="B11" s="21" t="s">
        <v>23</v>
      </c>
      <c r="C11" s="21" t="s">
        <v>20</v>
      </c>
      <c r="D11" s="21" t="s">
        <v>34</v>
      </c>
      <c r="E11" s="21" t="s">
        <v>25</v>
      </c>
      <c r="F11" s="7"/>
      <c r="G11" s="7"/>
      <c r="H11" s="9">
        <f>IFERROR(G11-F11,0)</f>
        <v>0</v>
      </c>
      <c r="I11" s="10">
        <f>IFERROR(H11/F11,0)</f>
        <v>0</v>
      </c>
      <c r="J11" s="10">
        <f>IFERROR(G11/SUM($G$4:$G$17),0)</f>
        <v>0</v>
      </c>
      <c r="K11" s="7"/>
      <c r="L11" s="7"/>
      <c r="M11" s="7"/>
      <c r="N11" s="8"/>
      <c r="P11" s="13">
        <v>46508</v>
      </c>
      <c r="Q11">
        <f>SUM('월별 계좌 성과'!I102:I115)</f>
        <v>0</v>
      </c>
      <c r="R11" s="16">
        <f>IFERROR(SUM('월별 계좌 성과'!J102:J115)/(SUM('월별 계좌 성과'!E102:E115)+SUM('월별 계좌 성과'!F102:F115)),0)</f>
        <v>0</v>
      </c>
    </row>
    <row r="12" spans="1:18">
      <c r="A12" s="21" t="s">
        <v>35</v>
      </c>
      <c r="B12" s="21" t="s">
        <v>19</v>
      </c>
      <c r="C12" s="21" t="s">
        <v>20</v>
      </c>
      <c r="D12" s="21" t="s">
        <v>36</v>
      </c>
      <c r="E12" s="21" t="s">
        <v>22</v>
      </c>
      <c r="F12" s="7"/>
      <c r="G12" s="7"/>
      <c r="H12" s="9">
        <f>IFERROR(G12-F12,0)</f>
        <v>0</v>
      </c>
      <c r="I12" s="10">
        <f>IFERROR(H12/F12,0)</f>
        <v>0</v>
      </c>
      <c r="J12" s="10">
        <f>IFERROR(G12/SUM($G$4:$G$17),0)</f>
        <v>0</v>
      </c>
      <c r="K12" s="7"/>
      <c r="L12" s="7"/>
      <c r="M12" s="7"/>
      <c r="N12" s="8"/>
      <c r="P12" s="13">
        <v>46539</v>
      </c>
      <c r="Q12">
        <f>SUM('월별 계좌 성과'!I116:I129)</f>
        <v>0</v>
      </c>
      <c r="R12" s="16">
        <f>IFERROR(SUM('월별 계좌 성과'!J116:J129)/(SUM('월별 계좌 성과'!E116:E129)+SUM('월별 계좌 성과'!F116:F129)),0)</f>
        <v>0</v>
      </c>
    </row>
    <row r="13" spans="1:18">
      <c r="A13" s="21" t="s">
        <v>35</v>
      </c>
      <c r="B13" s="21" t="s">
        <v>23</v>
      </c>
      <c r="C13" s="21" t="s">
        <v>20</v>
      </c>
      <c r="D13" s="21" t="s">
        <v>37</v>
      </c>
      <c r="E13" s="21" t="s">
        <v>25</v>
      </c>
      <c r="F13" s="7"/>
      <c r="G13" s="7"/>
      <c r="H13" s="9">
        <f>IFERROR(G13-F13,0)</f>
        <v>0</v>
      </c>
      <c r="I13" s="10">
        <f>IFERROR(H13/F13,0)</f>
        <v>0</v>
      </c>
      <c r="J13" s="10">
        <f>IFERROR(G13/SUM($G$4:$G$17),0)</f>
        <v>0</v>
      </c>
      <c r="K13" s="7"/>
      <c r="L13" s="7"/>
      <c r="M13" s="7"/>
      <c r="N13" s="8"/>
      <c r="P13" s="13">
        <v>46569</v>
      </c>
      <c r="Q13">
        <f>SUM('월별 계좌 성과'!I130:I143)</f>
        <v>0</v>
      </c>
      <c r="R13" s="16">
        <f>IFERROR(SUM('월별 계좌 성과'!J130:J143)/(SUM('월별 계좌 성과'!E130:E143)+SUM('월별 계좌 성과'!F130:F143)),0)</f>
        <v>0</v>
      </c>
    </row>
    <row r="14" spans="1:18">
      <c r="A14" s="21" t="s">
        <v>38</v>
      </c>
      <c r="B14" s="21" t="s">
        <v>19</v>
      </c>
      <c r="C14" s="21" t="s">
        <v>20</v>
      </c>
      <c r="D14" s="21" t="s">
        <v>39</v>
      </c>
      <c r="E14" s="21" t="s">
        <v>22</v>
      </c>
      <c r="F14" s="7"/>
      <c r="G14" s="7"/>
      <c r="H14" s="9">
        <f>IFERROR(G14-F14,0)</f>
        <v>0</v>
      </c>
      <c r="I14" s="10">
        <f>IFERROR(H14/F14,0)</f>
        <v>0</v>
      </c>
      <c r="J14" s="10">
        <f>IFERROR(G14/SUM($G$4:$G$17),0)</f>
        <v>0</v>
      </c>
      <c r="K14" s="7"/>
      <c r="L14" s="7"/>
      <c r="M14" s="7"/>
      <c r="N14" s="8"/>
      <c r="P14" s="13">
        <v>46600</v>
      </c>
      <c r="Q14">
        <f>SUM('월별 계좌 성과'!I144:I157)</f>
        <v>0</v>
      </c>
      <c r="R14" s="16">
        <f>IFERROR(SUM('월별 계좌 성과'!J144:J157)/(SUM('월별 계좌 성과'!E144:E157)+SUM('월별 계좌 성과'!F144:F157)),0)</f>
        <v>0</v>
      </c>
    </row>
    <row r="15" spans="1:18">
      <c r="A15" s="21" t="s">
        <v>38</v>
      </c>
      <c r="B15" s="21" t="s">
        <v>23</v>
      </c>
      <c r="C15" s="21" t="s">
        <v>20</v>
      </c>
      <c r="D15" s="21" t="s">
        <v>40</v>
      </c>
      <c r="E15" s="21" t="s">
        <v>25</v>
      </c>
      <c r="F15" s="7"/>
      <c r="G15" s="7"/>
      <c r="H15" s="9">
        <f>IFERROR(G15-F15,0)</f>
        <v>0</v>
      </c>
      <c r="I15" s="10">
        <f>IFERROR(H15/F15,0)</f>
        <v>0</v>
      </c>
      <c r="J15" s="10">
        <f>IFERROR(G15/SUM($G$4:$G$17),0)</f>
        <v>0</v>
      </c>
      <c r="K15" s="7"/>
      <c r="L15" s="7"/>
      <c r="M15" s="7"/>
      <c r="N15" s="8"/>
      <c r="P15" s="13">
        <v>46631</v>
      </c>
      <c r="Q15">
        <f>SUM('월별 계좌 성과'!I158:I171)</f>
        <v>0</v>
      </c>
      <c r="R15" s="16">
        <f>IFERROR(SUM('월별 계좌 성과'!J158:J171)/(SUM('월별 계좌 성과'!E158:E171)+SUM('월별 계좌 성과'!F158:F171)),0)</f>
        <v>0</v>
      </c>
    </row>
    <row r="16" spans="1:18">
      <c r="A16" s="21" t="s">
        <v>41</v>
      </c>
      <c r="B16" s="21" t="s">
        <v>19</v>
      </c>
      <c r="C16" s="21" t="s">
        <v>20</v>
      </c>
      <c r="D16" s="21" t="s">
        <v>42</v>
      </c>
      <c r="E16" s="21" t="s">
        <v>22</v>
      </c>
      <c r="F16" s="7"/>
      <c r="G16" s="7"/>
      <c r="H16" s="9">
        <f>IFERROR(G16-F16,0)</f>
        <v>0</v>
      </c>
      <c r="I16" s="10">
        <f>IFERROR(H16/F16,0)</f>
        <v>0</v>
      </c>
      <c r="J16" s="10">
        <f>IFERROR(G16/SUM($G$4:$G$17),0)</f>
        <v>0</v>
      </c>
      <c r="K16" s="7"/>
      <c r="L16" s="7"/>
      <c r="M16" s="7"/>
      <c r="N16" s="8"/>
      <c r="P16" s="13">
        <v>46661</v>
      </c>
      <c r="Q16">
        <f>SUM('월별 계좌 성과'!I172:I185)</f>
        <v>0</v>
      </c>
      <c r="R16" s="16">
        <f>IFERROR(SUM('월별 계좌 성과'!J172:J185)/(SUM('월별 계좌 성과'!E172:E185)+SUM('월별 계좌 성과'!F172:F185)),0)</f>
        <v>0</v>
      </c>
    </row>
    <row r="17" spans="1:18">
      <c r="A17" s="21" t="s">
        <v>41</v>
      </c>
      <c r="B17" s="21" t="s">
        <v>23</v>
      </c>
      <c r="C17" s="21" t="s">
        <v>20</v>
      </c>
      <c r="D17" s="21" t="s">
        <v>43</v>
      </c>
      <c r="E17" s="21" t="s">
        <v>25</v>
      </c>
      <c r="F17" s="7"/>
      <c r="G17" s="7"/>
      <c r="H17" s="9">
        <f>IFERROR(G17-F17,0)</f>
        <v>0</v>
      </c>
      <c r="I17" s="10">
        <f>IFERROR(H17/F17,0)</f>
        <v>0</v>
      </c>
      <c r="J17" s="10">
        <f>IFERROR(G17/SUM($G$4:$G$17),0)</f>
        <v>0</v>
      </c>
      <c r="K17" s="7"/>
      <c r="L17" s="7"/>
      <c r="M17" s="7"/>
      <c r="N17" s="8"/>
      <c r="P17" s="13">
        <v>46692</v>
      </c>
      <c r="Q17">
        <f>SUM('월별 계좌 성과'!I186:I199)</f>
        <v>0</v>
      </c>
      <c r="R17" s="16">
        <f>IFERROR(SUM('월별 계좌 성과'!J186:J199)/(SUM('월별 계좌 성과'!E186:E199)+SUM('월별 계좌 성과'!F186:F199)),0)</f>
        <v>0</v>
      </c>
    </row>
    <row r="18" spans="1:18">
      <c r="A18" s="3" t="s">
        <v>44</v>
      </c>
      <c r="B18" s="3"/>
      <c r="C18" s="3"/>
      <c r="D18" s="3"/>
      <c r="E18" s="3"/>
      <c r="F18" s="5">
        <f>SUM(F4:F17)</f>
        <v>0</v>
      </c>
      <c r="G18" s="5">
        <f>SUM(G4:G17)</f>
        <v>0</v>
      </c>
      <c r="H18" s="11">
        <f>SUM(H4:H17)</f>
        <v>0</v>
      </c>
      <c r="I18" s="12">
        <f>IFERROR(H18/F18,0)</f>
        <v>0</v>
      </c>
      <c r="J18" s="12">
        <f>SUM(J4:J17)</f>
        <v>0</v>
      </c>
      <c r="K18" s="5">
        <f>SUM(K4:K17)</f>
        <v>0</v>
      </c>
      <c r="L18" s="5">
        <f>SUM(L4:L17)</f>
        <v>0</v>
      </c>
      <c r="M18" s="5">
        <f>SUM(M4:M17)</f>
        <v>0</v>
      </c>
      <c r="N18" s="3"/>
      <c r="P18" s="13">
        <v>46722</v>
      </c>
      <c r="Q18">
        <f>SUM('월별 계좌 성과'!I200:I213)</f>
        <v>0</v>
      </c>
      <c r="R18" s="16">
        <f>IFERROR(SUM('월별 계좌 성과'!J200:J213)/(SUM('월별 계좌 성과'!E200:E213)+SUM('월별 계좌 성과'!F200:F213)),0)</f>
        <v>0</v>
      </c>
    </row>
    <row r="21" spans="1:18">
      <c r="A21" s="19" t="s">
        <v>45</v>
      </c>
      <c r="B21" s="19"/>
      <c r="C21" s="19"/>
      <c r="D21" s="19"/>
    </row>
    <row r="22" spans="1:18">
      <c r="A22" s="1" t="s">
        <v>46</v>
      </c>
      <c r="B22" s="1" t="s">
        <v>47</v>
      </c>
      <c r="C22" s="1" t="s">
        <v>8</v>
      </c>
      <c r="D22" s="1" t="s">
        <v>48</v>
      </c>
    </row>
    <row r="23" spans="1:18">
      <c r="A23" t="s">
        <v>19</v>
      </c>
      <c r="B23" s="4">
        <f>SUMIF(B4:B17,A23,G4:G17)</f>
        <v>0</v>
      </c>
      <c r="C23" s="4">
        <f>SUMIF(B4:B17,A23,H4:H17)</f>
        <v>0</v>
      </c>
      <c r="D23" s="6">
        <f>IFERROR(C23/SUMIF(B4:B17,A23,F4:F17),0)</f>
        <v>0</v>
      </c>
    </row>
    <row r="24" spans="1:18">
      <c r="A24" t="s">
        <v>23</v>
      </c>
      <c r="B24" s="4">
        <f>SUMIF(B4:B17,A24,G4:G17)</f>
        <v>0</v>
      </c>
      <c r="C24" s="4">
        <f>SUMIF(B4:B17,A24,H4:H17)</f>
        <v>0</v>
      </c>
      <c r="D24" s="6">
        <f>IFERROR(C24/SUMIF(B4:B17,A24,F4:F17),0)</f>
        <v>0</v>
      </c>
    </row>
  </sheetData>
  <mergeCells count="2">
    <mergeCell ref="A1:N1"/>
    <mergeCell ref="A21:D21"/>
  </mergeCells>
  <conditionalFormatting sqref="I4:I17">
    <cfRule type="cellIs" dxfId="1" priority="1" operator="lessThan">
      <formula>0</formula>
    </cfRule>
  </conditionalFormatting>
  <pageMargins left="0.7" right="0.7" top="0.75" bottom="0.75" header="0.3" footer="0.3"/>
  <headerFooter>
    <oddHeader>&amp;C&amp;"Aptos"&amp;12&amp;K000000 LGE Internal Use Only&amp;1#_x000D_</oddHeader>
  </headerFooter>
  <drawing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xr:uid="{00000000-0002-0000-0000-000000000000}">
          <x14:formula1>
            <xm:f>설정!$A$2:$A$9</xm:f>
          </x14:formula1>
          <xm:sqref>A4:A17</xm:sqref>
        </x14:dataValidation>
        <x14:dataValidation type="list" xr:uid="{00000000-0002-0000-0000-000001000000}">
          <x14:formula1>
            <xm:f>설정!$C$2:$C$3</xm:f>
          </x14:formula1>
          <xm:sqref>B4:B17</xm:sqref>
        </x14:dataValidation>
        <x14:dataValidation type="list" xr:uid="{00000000-0002-0000-0000-000002000000}">
          <x14:formula1>
            <xm:f>설정!$B$2:$B$8</xm:f>
          </x14:formula1>
          <xm:sqref>C4:C17</xm:sqref>
        </x14:dataValidation>
        <x14:dataValidation type="list" xr:uid="{00000000-0002-0000-0000-000003000000}">
          <x14:formula1>
            <xm:f>설정!$D$2:$D$7</xm:f>
          </x14:formula1>
          <xm:sqref>E4:E17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381"/>
  <sheetViews>
    <sheetView zoomScaleNormal="100" zoomScaleSheetLayoutView="100" workbookViewId="0"/>
  </sheetViews>
  <sheetFormatPr defaultRowHeight="15"/>
  <cols>
    <col min="1" max="1" width="11" customWidth="1"/>
    <col min="2" max="2" width="12" customWidth="1"/>
    <col min="3" max="3" width="9" customWidth="1"/>
    <col min="4" max="4" width="17" customWidth="1"/>
    <col min="5" max="5" width="14" customWidth="1"/>
    <col min="6" max="8" width="11" customWidth="1"/>
    <col min="9" max="9" width="14" customWidth="1"/>
    <col min="10" max="10" width="13" customWidth="1"/>
    <col min="11" max="11" width="11" customWidth="1"/>
    <col min="12" max="12" width="13" customWidth="1"/>
    <col min="13" max="13" width="11" customWidth="1"/>
    <col min="14" max="14" width="22" customWidth="1"/>
  </cols>
  <sheetData>
    <row r="1" spans="1:14" ht="32.1" customHeight="1">
      <c r="A1" s="20" t="s">
        <v>49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</row>
    <row r="3" spans="1:14">
      <c r="A3" s="2" t="s">
        <v>15</v>
      </c>
      <c r="B3" s="2" t="s">
        <v>1</v>
      </c>
      <c r="C3" s="2" t="s">
        <v>2</v>
      </c>
      <c r="D3" s="2" t="s">
        <v>4</v>
      </c>
      <c r="E3" s="2" t="s">
        <v>50</v>
      </c>
      <c r="F3" s="2" t="s">
        <v>51</v>
      </c>
      <c r="G3" s="2" t="s">
        <v>52</v>
      </c>
      <c r="H3" s="2" t="s">
        <v>13</v>
      </c>
      <c r="I3" s="2" t="s">
        <v>53</v>
      </c>
      <c r="J3" s="2" t="s">
        <v>54</v>
      </c>
      <c r="K3" s="2" t="s">
        <v>55</v>
      </c>
      <c r="L3" s="2" t="s">
        <v>56</v>
      </c>
      <c r="M3" s="2" t="s">
        <v>9</v>
      </c>
      <c r="N3" s="2" t="s">
        <v>57</v>
      </c>
    </row>
    <row r="4" spans="1:14">
      <c r="A4" s="13">
        <v>46296</v>
      </c>
      <c r="B4" t="s">
        <v>18</v>
      </c>
      <c r="C4" t="s">
        <v>19</v>
      </c>
      <c r="D4" t="s">
        <v>21</v>
      </c>
      <c r="E4" s="7"/>
      <c r="F4" s="7"/>
      <c r="G4" s="7"/>
      <c r="H4" s="7"/>
      <c r="I4" s="7"/>
      <c r="J4" s="4">
        <f>IFERROR(I4-E4-F4+G4+H4,0)</f>
        <v>0</v>
      </c>
      <c r="K4" s="6">
        <f>IFERROR(J4/(E4+F4),0)</f>
        <v>0</v>
      </c>
      <c r="L4" s="6">
        <f>IFERROR(K4-SUMIFS($K$4:K4,$B$4:B4,B4,$C$4:C4,C4,$A$4:A4,EDATE(A4,-1)),K4)</f>
        <v>0</v>
      </c>
      <c r="M4" s="6">
        <f>IFERROR((I4+SUMIFS($G$4:G4,$B$4:B4,B4,$C$4:C4,C4,$A$4:A4,"&lt;="&amp;A4)+SUMIFS($H$4:H4,$B$4:B4,B4,$C$4:C4,C4,$A$4:A4,"&lt;="&amp;A4)-SUMIFS($F$4:F4,$B$4:B4,B4,$C$4:C4,C4,$A$4:A4,"&lt;="&amp;A4))/SUMIFS($F$4:F4,$B$4:B4,B4,$C$4:C4,C4,$A$4:A4,"&lt;="&amp;A4),0)</f>
        <v>0</v>
      </c>
      <c r="N4" s="8"/>
    </row>
    <row r="5" spans="1:14">
      <c r="A5" s="13">
        <v>46296</v>
      </c>
      <c r="B5" t="s">
        <v>18</v>
      </c>
      <c r="C5" t="s">
        <v>23</v>
      </c>
      <c r="D5" t="s">
        <v>24</v>
      </c>
      <c r="E5" s="7"/>
      <c r="F5" s="7"/>
      <c r="G5" s="7"/>
      <c r="H5" s="7"/>
      <c r="I5" s="7"/>
      <c r="J5" s="4">
        <f>IFERROR(I5-E5-F5+G5+H5,0)</f>
        <v>0</v>
      </c>
      <c r="K5" s="6">
        <f>IFERROR(J5/(E5+F5),0)</f>
        <v>0</v>
      </c>
      <c r="L5" s="6">
        <f>IFERROR(K5-SUMIFS($K$4:K5,$B$4:B5,B5,$C$4:C5,C5,$A$4:A5,EDATE(A5,-1)),K5)</f>
        <v>0</v>
      </c>
      <c r="M5" s="6">
        <f>IFERROR((I5+SUMIFS($G$4:G5,$B$4:B5,B5,$C$4:C5,C5,$A$4:A5,"&lt;="&amp;A5)+SUMIFS($H$4:H5,$B$4:B5,B5,$C$4:C5,C5,$A$4:A5,"&lt;="&amp;A5)-SUMIFS($F$4:F5,$B$4:B5,B5,$C$4:C5,C5,$A$4:A5,"&lt;="&amp;A5))/SUMIFS($F$4:F5,$B$4:B5,B5,$C$4:C5,C5,$A$4:A5,"&lt;="&amp;A5),0)</f>
        <v>0</v>
      </c>
      <c r="N5" s="8"/>
    </row>
    <row r="6" spans="1:14">
      <c r="A6" s="13">
        <v>46296</v>
      </c>
      <c r="B6" t="s">
        <v>26</v>
      </c>
      <c r="C6" t="s">
        <v>19</v>
      </c>
      <c r="D6" t="s">
        <v>27</v>
      </c>
      <c r="E6" s="7"/>
      <c r="F6" s="7"/>
      <c r="G6" s="7"/>
      <c r="H6" s="7"/>
      <c r="I6" s="7"/>
      <c r="J6" s="4">
        <f>IFERROR(I6-E6-F6+G6+H6,0)</f>
        <v>0</v>
      </c>
      <c r="K6" s="6">
        <f>IFERROR(J6/(E6+F6),0)</f>
        <v>0</v>
      </c>
      <c r="L6" s="6">
        <f>IFERROR(K6-SUMIFS($K$4:K6,$B$4:B6,B6,$C$4:C6,C6,$A$4:A6,EDATE(A6,-1)),K6)</f>
        <v>0</v>
      </c>
      <c r="M6" s="6">
        <f>IFERROR((I6+SUMIFS($G$4:G6,$B$4:B6,B6,$C$4:C6,C6,$A$4:A6,"&lt;="&amp;A6)+SUMIFS($H$4:H6,$B$4:B6,B6,$C$4:C6,C6,$A$4:A6,"&lt;="&amp;A6)-SUMIFS($F$4:F6,$B$4:B6,B6,$C$4:C6,C6,$A$4:A6,"&lt;="&amp;A6))/SUMIFS($F$4:F6,$B$4:B6,B6,$C$4:C6,C6,$A$4:A6,"&lt;="&amp;A6),0)</f>
        <v>0</v>
      </c>
      <c r="N6" s="8"/>
    </row>
    <row r="7" spans="1:14">
      <c r="A7" s="13">
        <v>46296</v>
      </c>
      <c r="B7" t="s">
        <v>26</v>
      </c>
      <c r="C7" t="s">
        <v>23</v>
      </c>
      <c r="D7" t="s">
        <v>28</v>
      </c>
      <c r="E7" s="7"/>
      <c r="F7" s="7"/>
      <c r="G7" s="7"/>
      <c r="H7" s="7"/>
      <c r="I7" s="7"/>
      <c r="J7" s="4">
        <f>IFERROR(I7-E7-F7+G7+H7,0)</f>
        <v>0</v>
      </c>
      <c r="K7" s="6">
        <f>IFERROR(J7/(E7+F7),0)</f>
        <v>0</v>
      </c>
      <c r="L7" s="6">
        <f>IFERROR(K7-SUMIFS($K$4:K7,$B$4:B7,B7,$C$4:C7,C7,$A$4:A7,EDATE(A7,-1)),K7)</f>
        <v>0</v>
      </c>
      <c r="M7" s="6">
        <f>IFERROR((I7+SUMIFS($G$4:G7,$B$4:B7,B7,$C$4:C7,C7,$A$4:A7,"&lt;="&amp;A7)+SUMIFS($H$4:H7,$B$4:B7,B7,$C$4:C7,C7,$A$4:A7,"&lt;="&amp;A7)-SUMIFS($F$4:F7,$B$4:B7,B7,$C$4:C7,C7,$A$4:A7,"&lt;="&amp;A7))/SUMIFS($F$4:F7,$B$4:B7,B7,$C$4:C7,C7,$A$4:A7,"&lt;="&amp;A7),0)</f>
        <v>0</v>
      </c>
      <c r="N7" s="8"/>
    </row>
    <row r="8" spans="1:14">
      <c r="A8" s="13">
        <v>46296</v>
      </c>
      <c r="B8" t="s">
        <v>29</v>
      </c>
      <c r="C8" t="s">
        <v>19</v>
      </c>
      <c r="D8" t="s">
        <v>30</v>
      </c>
      <c r="E8" s="7"/>
      <c r="F8" s="7"/>
      <c r="G8" s="7"/>
      <c r="H8" s="7"/>
      <c r="I8" s="7"/>
      <c r="J8" s="4">
        <f>IFERROR(I8-E8-F8+G8+H8,0)</f>
        <v>0</v>
      </c>
      <c r="K8" s="6">
        <f>IFERROR(J8/(E8+F8),0)</f>
        <v>0</v>
      </c>
      <c r="L8" s="6">
        <f>IFERROR(K8-SUMIFS($K$4:K8,$B$4:B8,B8,$C$4:C8,C8,$A$4:A8,EDATE(A8,-1)),K8)</f>
        <v>0</v>
      </c>
      <c r="M8" s="6">
        <f>IFERROR((I8+SUMIFS($G$4:G8,$B$4:B8,B8,$C$4:C8,C8,$A$4:A8,"&lt;="&amp;A8)+SUMIFS($H$4:H8,$B$4:B8,B8,$C$4:C8,C8,$A$4:A8,"&lt;="&amp;A8)-SUMIFS($F$4:F8,$B$4:B8,B8,$C$4:C8,C8,$A$4:A8,"&lt;="&amp;A8))/SUMIFS($F$4:F8,$B$4:B8,B8,$C$4:C8,C8,$A$4:A8,"&lt;="&amp;A8),0)</f>
        <v>0</v>
      </c>
      <c r="N8" s="8"/>
    </row>
    <row r="9" spans="1:14">
      <c r="A9" s="13">
        <v>46296</v>
      </c>
      <c r="B9" t="s">
        <v>29</v>
      </c>
      <c r="C9" t="s">
        <v>23</v>
      </c>
      <c r="D9" t="s">
        <v>31</v>
      </c>
      <c r="E9" s="7"/>
      <c r="F9" s="7"/>
      <c r="G9" s="7"/>
      <c r="H9" s="7"/>
      <c r="I9" s="7"/>
      <c r="J9" s="4">
        <f>IFERROR(I9-E9-F9+G9+H9,0)</f>
        <v>0</v>
      </c>
      <c r="K9" s="6">
        <f>IFERROR(J9/(E9+F9),0)</f>
        <v>0</v>
      </c>
      <c r="L9" s="6">
        <f>IFERROR(K9-SUMIFS($K$4:K9,$B$4:B9,B9,$C$4:C9,C9,$A$4:A9,EDATE(A9,-1)),K9)</f>
        <v>0</v>
      </c>
      <c r="M9" s="6">
        <f>IFERROR((I9+SUMIFS($G$4:G9,$B$4:B9,B9,$C$4:C9,C9,$A$4:A9,"&lt;="&amp;A9)+SUMIFS($H$4:H9,$B$4:B9,B9,$C$4:C9,C9,$A$4:A9,"&lt;="&amp;A9)-SUMIFS($F$4:F9,$B$4:B9,B9,$C$4:C9,C9,$A$4:A9,"&lt;="&amp;A9))/SUMIFS($F$4:F9,$B$4:B9,B9,$C$4:C9,C9,$A$4:A9,"&lt;="&amp;A9),0)</f>
        <v>0</v>
      </c>
      <c r="N9" s="8"/>
    </row>
    <row r="10" spans="1:14">
      <c r="A10" s="13">
        <v>46296</v>
      </c>
      <c r="B10" t="s">
        <v>32</v>
      </c>
      <c r="C10" t="s">
        <v>19</v>
      </c>
      <c r="D10" t="s">
        <v>33</v>
      </c>
      <c r="E10" s="7"/>
      <c r="F10" s="7"/>
      <c r="G10" s="7"/>
      <c r="H10" s="7"/>
      <c r="I10" s="7"/>
      <c r="J10" s="4">
        <f>IFERROR(I10-E10-F10+G10+H10,0)</f>
        <v>0</v>
      </c>
      <c r="K10" s="6">
        <f>IFERROR(J10/(E10+F10),0)</f>
        <v>0</v>
      </c>
      <c r="L10" s="6">
        <f>IFERROR(K10-SUMIFS($K$4:K10,$B$4:B10,B10,$C$4:C10,C10,$A$4:A10,EDATE(A10,-1)),K10)</f>
        <v>0</v>
      </c>
      <c r="M10" s="6">
        <f>IFERROR((I10+SUMIFS($G$4:G10,$B$4:B10,B10,$C$4:C10,C10,$A$4:A10,"&lt;="&amp;A10)+SUMIFS($H$4:H10,$B$4:B10,B10,$C$4:C10,C10,$A$4:A10,"&lt;="&amp;A10)-SUMIFS($F$4:F10,$B$4:B10,B10,$C$4:C10,C10,$A$4:A10,"&lt;="&amp;A10))/SUMIFS($F$4:F10,$B$4:B10,B10,$C$4:C10,C10,$A$4:A10,"&lt;="&amp;A10),0)</f>
        <v>0</v>
      </c>
      <c r="N10" s="8"/>
    </row>
    <row r="11" spans="1:14">
      <c r="A11" s="13">
        <v>46296</v>
      </c>
      <c r="B11" t="s">
        <v>32</v>
      </c>
      <c r="C11" t="s">
        <v>23</v>
      </c>
      <c r="D11" t="s">
        <v>34</v>
      </c>
      <c r="E11" s="7"/>
      <c r="F11" s="7"/>
      <c r="G11" s="7"/>
      <c r="H11" s="7"/>
      <c r="I11" s="7"/>
      <c r="J11" s="4">
        <f>IFERROR(I11-E11-F11+G11+H11,0)</f>
        <v>0</v>
      </c>
      <c r="K11" s="6">
        <f>IFERROR(J11/(E11+F11),0)</f>
        <v>0</v>
      </c>
      <c r="L11" s="6">
        <f>IFERROR(K11-SUMIFS($K$4:K11,$B$4:B11,B11,$C$4:C11,C11,$A$4:A11,EDATE(A11,-1)),K11)</f>
        <v>0</v>
      </c>
      <c r="M11" s="6">
        <f>IFERROR((I11+SUMIFS($G$4:G11,$B$4:B11,B11,$C$4:C11,C11,$A$4:A11,"&lt;="&amp;A11)+SUMIFS($H$4:H11,$B$4:B11,B11,$C$4:C11,C11,$A$4:A11,"&lt;="&amp;A11)-SUMIFS($F$4:F11,$B$4:B11,B11,$C$4:C11,C11,$A$4:A11,"&lt;="&amp;A11))/SUMIFS($F$4:F11,$B$4:B11,B11,$C$4:C11,C11,$A$4:A11,"&lt;="&amp;A11),0)</f>
        <v>0</v>
      </c>
      <c r="N11" s="8"/>
    </row>
    <row r="12" spans="1:14">
      <c r="A12" s="13">
        <v>46296</v>
      </c>
      <c r="B12" t="s">
        <v>35</v>
      </c>
      <c r="C12" t="s">
        <v>19</v>
      </c>
      <c r="D12" t="s">
        <v>36</v>
      </c>
      <c r="E12" s="7"/>
      <c r="F12" s="7"/>
      <c r="G12" s="7"/>
      <c r="H12" s="7"/>
      <c r="I12" s="7"/>
      <c r="J12" s="4">
        <f>IFERROR(I12-E12-F12+G12+H12,0)</f>
        <v>0</v>
      </c>
      <c r="K12" s="6">
        <f>IFERROR(J12/(E12+F12),0)</f>
        <v>0</v>
      </c>
      <c r="L12" s="6">
        <f>IFERROR(K12-SUMIFS($K$4:K12,$B$4:B12,B12,$C$4:C12,C12,$A$4:A12,EDATE(A12,-1)),K12)</f>
        <v>0</v>
      </c>
      <c r="M12" s="6">
        <f>IFERROR((I12+SUMIFS($G$4:G12,$B$4:B12,B12,$C$4:C12,C12,$A$4:A12,"&lt;="&amp;A12)+SUMIFS($H$4:H12,$B$4:B12,B12,$C$4:C12,C12,$A$4:A12,"&lt;="&amp;A12)-SUMIFS($F$4:F12,$B$4:B12,B12,$C$4:C12,C12,$A$4:A12,"&lt;="&amp;A12))/SUMIFS($F$4:F12,$B$4:B12,B12,$C$4:C12,C12,$A$4:A12,"&lt;="&amp;A12),0)</f>
        <v>0</v>
      </c>
      <c r="N12" s="8"/>
    </row>
    <row r="13" spans="1:14">
      <c r="A13" s="13">
        <v>46296</v>
      </c>
      <c r="B13" t="s">
        <v>35</v>
      </c>
      <c r="C13" t="s">
        <v>23</v>
      </c>
      <c r="D13" t="s">
        <v>37</v>
      </c>
      <c r="E13" s="7"/>
      <c r="F13" s="7"/>
      <c r="G13" s="7"/>
      <c r="H13" s="7"/>
      <c r="I13" s="7"/>
      <c r="J13" s="4">
        <f>IFERROR(I13-E13-F13+G13+H13,0)</f>
        <v>0</v>
      </c>
      <c r="K13" s="6">
        <f>IFERROR(J13/(E13+F13),0)</f>
        <v>0</v>
      </c>
      <c r="L13" s="6">
        <f>IFERROR(K13-SUMIFS($K$4:K13,$B$4:B13,B13,$C$4:C13,C13,$A$4:A13,EDATE(A13,-1)),K13)</f>
        <v>0</v>
      </c>
      <c r="M13" s="6">
        <f>IFERROR((I13+SUMIFS($G$4:G13,$B$4:B13,B13,$C$4:C13,C13,$A$4:A13,"&lt;="&amp;A13)+SUMIFS($H$4:H13,$B$4:B13,B13,$C$4:C13,C13,$A$4:A13,"&lt;="&amp;A13)-SUMIFS($F$4:F13,$B$4:B13,B13,$C$4:C13,C13,$A$4:A13,"&lt;="&amp;A13))/SUMIFS($F$4:F13,$B$4:B13,B13,$C$4:C13,C13,$A$4:A13,"&lt;="&amp;A13),0)</f>
        <v>0</v>
      </c>
      <c r="N13" s="8"/>
    </row>
    <row r="14" spans="1:14">
      <c r="A14" s="13">
        <v>46296</v>
      </c>
      <c r="B14" t="s">
        <v>38</v>
      </c>
      <c r="C14" t="s">
        <v>19</v>
      </c>
      <c r="D14" t="s">
        <v>39</v>
      </c>
      <c r="E14" s="7"/>
      <c r="F14" s="7"/>
      <c r="G14" s="7"/>
      <c r="H14" s="7"/>
      <c r="I14" s="7"/>
      <c r="J14" s="4">
        <f>IFERROR(I14-E14-F14+G14+H14,0)</f>
        <v>0</v>
      </c>
      <c r="K14" s="6">
        <f>IFERROR(J14/(E14+F14),0)</f>
        <v>0</v>
      </c>
      <c r="L14" s="6">
        <f>IFERROR(K14-SUMIFS($K$4:K14,$B$4:B14,B14,$C$4:C14,C14,$A$4:A14,EDATE(A14,-1)),K14)</f>
        <v>0</v>
      </c>
      <c r="M14" s="6">
        <f>IFERROR((I14+SUMIFS($G$4:G14,$B$4:B14,B14,$C$4:C14,C14,$A$4:A14,"&lt;="&amp;A14)+SUMIFS($H$4:H14,$B$4:B14,B14,$C$4:C14,C14,$A$4:A14,"&lt;="&amp;A14)-SUMIFS($F$4:F14,$B$4:B14,B14,$C$4:C14,C14,$A$4:A14,"&lt;="&amp;A14))/SUMIFS($F$4:F14,$B$4:B14,B14,$C$4:C14,C14,$A$4:A14,"&lt;="&amp;A14),0)</f>
        <v>0</v>
      </c>
      <c r="N14" s="8"/>
    </row>
    <row r="15" spans="1:14">
      <c r="A15" s="13">
        <v>46296</v>
      </c>
      <c r="B15" t="s">
        <v>38</v>
      </c>
      <c r="C15" t="s">
        <v>23</v>
      </c>
      <c r="D15" t="s">
        <v>40</v>
      </c>
      <c r="E15" s="7"/>
      <c r="F15" s="7"/>
      <c r="G15" s="7"/>
      <c r="H15" s="7"/>
      <c r="I15" s="7"/>
      <c r="J15" s="4">
        <f>IFERROR(I15-E15-F15+G15+H15,0)</f>
        <v>0</v>
      </c>
      <c r="K15" s="6">
        <f>IFERROR(J15/(E15+F15),0)</f>
        <v>0</v>
      </c>
      <c r="L15" s="6">
        <f>IFERROR(K15-SUMIFS($K$4:K15,$B$4:B15,B15,$C$4:C15,C15,$A$4:A15,EDATE(A15,-1)),K15)</f>
        <v>0</v>
      </c>
      <c r="M15" s="6">
        <f>IFERROR((I15+SUMIFS($G$4:G15,$B$4:B15,B15,$C$4:C15,C15,$A$4:A15,"&lt;="&amp;A15)+SUMIFS($H$4:H15,$B$4:B15,B15,$C$4:C15,C15,$A$4:A15,"&lt;="&amp;A15)-SUMIFS($F$4:F15,$B$4:B15,B15,$C$4:C15,C15,$A$4:A15,"&lt;="&amp;A15))/SUMIFS($F$4:F15,$B$4:B15,B15,$C$4:C15,C15,$A$4:A15,"&lt;="&amp;A15),0)</f>
        <v>0</v>
      </c>
      <c r="N15" s="8"/>
    </row>
    <row r="16" spans="1:14">
      <c r="A16" s="13">
        <v>46296</v>
      </c>
      <c r="B16" t="s">
        <v>41</v>
      </c>
      <c r="C16" t="s">
        <v>19</v>
      </c>
      <c r="D16" t="s">
        <v>42</v>
      </c>
      <c r="E16" s="7"/>
      <c r="F16" s="7"/>
      <c r="G16" s="7"/>
      <c r="H16" s="7"/>
      <c r="I16" s="7"/>
      <c r="J16" s="4">
        <f>IFERROR(I16-E16-F16+G16+H16,0)</f>
        <v>0</v>
      </c>
      <c r="K16" s="6">
        <f>IFERROR(J16/(E16+F16),0)</f>
        <v>0</v>
      </c>
      <c r="L16" s="6">
        <f>IFERROR(K16-SUMIFS($K$4:K16,$B$4:B16,B16,$C$4:C16,C16,$A$4:A16,EDATE(A16,-1)),K16)</f>
        <v>0</v>
      </c>
      <c r="M16" s="6">
        <f>IFERROR((I16+SUMIFS($G$4:G16,$B$4:B16,B16,$C$4:C16,C16,$A$4:A16,"&lt;="&amp;A16)+SUMIFS($H$4:H16,$B$4:B16,B16,$C$4:C16,C16,$A$4:A16,"&lt;="&amp;A16)-SUMIFS($F$4:F16,$B$4:B16,B16,$C$4:C16,C16,$A$4:A16,"&lt;="&amp;A16))/SUMIFS($F$4:F16,$B$4:B16,B16,$C$4:C16,C16,$A$4:A16,"&lt;="&amp;A16),0)</f>
        <v>0</v>
      </c>
      <c r="N16" s="8"/>
    </row>
    <row r="17" spans="1:14">
      <c r="A17" s="13">
        <v>46296</v>
      </c>
      <c r="B17" t="s">
        <v>41</v>
      </c>
      <c r="C17" t="s">
        <v>23</v>
      </c>
      <c r="D17" t="s">
        <v>43</v>
      </c>
      <c r="E17" s="7"/>
      <c r="F17" s="7"/>
      <c r="G17" s="7"/>
      <c r="H17" s="7"/>
      <c r="I17" s="7"/>
      <c r="J17" s="4">
        <f>IFERROR(I17-E17-F17+G17+H17,0)</f>
        <v>0</v>
      </c>
      <c r="K17" s="6">
        <f>IFERROR(J17/(E17+F17),0)</f>
        <v>0</v>
      </c>
      <c r="L17" s="6">
        <f>IFERROR(K17-SUMIFS($K$4:K17,$B$4:B17,B17,$C$4:C17,C17,$A$4:A17,EDATE(A17,-1)),K17)</f>
        <v>0</v>
      </c>
      <c r="M17" s="6">
        <f>IFERROR((I17+SUMIFS($G$4:G17,$B$4:B17,B17,$C$4:C17,C17,$A$4:A17,"&lt;="&amp;A17)+SUMIFS($H$4:H17,$B$4:B17,B17,$C$4:C17,C17,$A$4:A17,"&lt;="&amp;A17)-SUMIFS($F$4:F17,$B$4:B17,B17,$C$4:C17,C17,$A$4:A17,"&lt;="&amp;A17))/SUMIFS($F$4:F17,$B$4:B17,B17,$C$4:C17,C17,$A$4:A17,"&lt;="&amp;A17),0)</f>
        <v>0</v>
      </c>
      <c r="N17" s="8"/>
    </row>
    <row r="18" spans="1:14">
      <c r="A18" s="13">
        <v>46327</v>
      </c>
      <c r="B18" t="s">
        <v>18</v>
      </c>
      <c r="C18" t="s">
        <v>19</v>
      </c>
      <c r="D18" t="s">
        <v>21</v>
      </c>
      <c r="E18" s="7"/>
      <c r="F18" s="7"/>
      <c r="G18" s="7"/>
      <c r="H18" s="7"/>
      <c r="I18" s="7"/>
      <c r="J18" s="4">
        <f>IFERROR(I18-E18-F18+G18+H18,0)</f>
        <v>0</v>
      </c>
      <c r="K18" s="6">
        <f>IFERROR(J18/(E18+F18),0)</f>
        <v>0</v>
      </c>
      <c r="L18" s="6">
        <f>IFERROR(K18-SUMIFS($K$4:K18,$B$4:B18,B18,$C$4:C18,C18,$A$4:A18,EDATE(A18,-1)),K18)</f>
        <v>0</v>
      </c>
      <c r="M18" s="6">
        <f>IFERROR((I18+SUMIFS($G$4:G18,$B$4:B18,B18,$C$4:C18,C18,$A$4:A18,"&lt;="&amp;A18)+SUMIFS($H$4:H18,$B$4:B18,B18,$C$4:C18,C18,$A$4:A18,"&lt;="&amp;A18)-SUMIFS($F$4:F18,$B$4:B18,B18,$C$4:C18,C18,$A$4:A18,"&lt;="&amp;A18))/SUMIFS($F$4:F18,$B$4:B18,B18,$C$4:C18,C18,$A$4:A18,"&lt;="&amp;A18),0)</f>
        <v>0</v>
      </c>
      <c r="N18" s="8"/>
    </row>
    <row r="19" spans="1:14">
      <c r="A19" s="13">
        <v>46327</v>
      </c>
      <c r="B19" t="s">
        <v>18</v>
      </c>
      <c r="C19" t="s">
        <v>23</v>
      </c>
      <c r="D19" t="s">
        <v>24</v>
      </c>
      <c r="E19" s="7"/>
      <c r="F19" s="7"/>
      <c r="G19" s="7"/>
      <c r="H19" s="7"/>
      <c r="I19" s="7"/>
      <c r="J19" s="4">
        <f>IFERROR(I19-E19-F19+G19+H19,0)</f>
        <v>0</v>
      </c>
      <c r="K19" s="6">
        <f>IFERROR(J19/(E19+F19),0)</f>
        <v>0</v>
      </c>
      <c r="L19" s="6">
        <f>IFERROR(K19-SUMIFS($K$4:K19,$B$4:B19,B19,$C$4:C19,C19,$A$4:A19,EDATE(A19,-1)),K19)</f>
        <v>0</v>
      </c>
      <c r="M19" s="6">
        <f>IFERROR((I19+SUMIFS($G$4:G19,$B$4:B19,B19,$C$4:C19,C19,$A$4:A19,"&lt;="&amp;A19)+SUMIFS($H$4:H19,$B$4:B19,B19,$C$4:C19,C19,$A$4:A19,"&lt;="&amp;A19)-SUMIFS($F$4:F19,$B$4:B19,B19,$C$4:C19,C19,$A$4:A19,"&lt;="&amp;A19))/SUMIFS($F$4:F19,$B$4:B19,B19,$C$4:C19,C19,$A$4:A19,"&lt;="&amp;A19),0)</f>
        <v>0</v>
      </c>
      <c r="N19" s="8"/>
    </row>
    <row r="20" spans="1:14">
      <c r="A20" s="13">
        <v>46327</v>
      </c>
      <c r="B20" t="s">
        <v>26</v>
      </c>
      <c r="C20" t="s">
        <v>19</v>
      </c>
      <c r="D20" t="s">
        <v>27</v>
      </c>
      <c r="E20" s="7"/>
      <c r="F20" s="7"/>
      <c r="G20" s="7"/>
      <c r="H20" s="7"/>
      <c r="I20" s="7"/>
      <c r="J20" s="4">
        <f>IFERROR(I20-E20-F20+G20+H20,0)</f>
        <v>0</v>
      </c>
      <c r="K20" s="6">
        <f>IFERROR(J20/(E20+F20),0)</f>
        <v>0</v>
      </c>
      <c r="L20" s="6">
        <f>IFERROR(K20-SUMIFS($K$4:K20,$B$4:B20,B20,$C$4:C20,C20,$A$4:A20,EDATE(A20,-1)),K20)</f>
        <v>0</v>
      </c>
      <c r="M20" s="6">
        <f>IFERROR((I20+SUMIFS($G$4:G20,$B$4:B20,B20,$C$4:C20,C20,$A$4:A20,"&lt;="&amp;A20)+SUMIFS($H$4:H20,$B$4:B20,B20,$C$4:C20,C20,$A$4:A20,"&lt;="&amp;A20)-SUMIFS($F$4:F20,$B$4:B20,B20,$C$4:C20,C20,$A$4:A20,"&lt;="&amp;A20))/SUMIFS($F$4:F20,$B$4:B20,B20,$C$4:C20,C20,$A$4:A20,"&lt;="&amp;A20),0)</f>
        <v>0</v>
      </c>
      <c r="N20" s="8"/>
    </row>
    <row r="21" spans="1:14">
      <c r="A21" s="13">
        <v>46327</v>
      </c>
      <c r="B21" t="s">
        <v>26</v>
      </c>
      <c r="C21" t="s">
        <v>23</v>
      </c>
      <c r="D21" t="s">
        <v>28</v>
      </c>
      <c r="E21" s="7"/>
      <c r="F21" s="7"/>
      <c r="G21" s="7"/>
      <c r="H21" s="7"/>
      <c r="I21" s="7"/>
      <c r="J21" s="4">
        <f>IFERROR(I21-E21-F21+G21+H21,0)</f>
        <v>0</v>
      </c>
      <c r="K21" s="6">
        <f>IFERROR(J21/(E21+F21),0)</f>
        <v>0</v>
      </c>
      <c r="L21" s="6">
        <f>IFERROR(K21-SUMIFS($K$4:K21,$B$4:B21,B21,$C$4:C21,C21,$A$4:A21,EDATE(A21,-1)),K21)</f>
        <v>0</v>
      </c>
      <c r="M21" s="6">
        <f>IFERROR((I21+SUMIFS($G$4:G21,$B$4:B21,B21,$C$4:C21,C21,$A$4:A21,"&lt;="&amp;A21)+SUMIFS($H$4:H21,$B$4:B21,B21,$C$4:C21,C21,$A$4:A21,"&lt;="&amp;A21)-SUMIFS($F$4:F21,$B$4:B21,B21,$C$4:C21,C21,$A$4:A21,"&lt;="&amp;A21))/SUMIFS($F$4:F21,$B$4:B21,B21,$C$4:C21,C21,$A$4:A21,"&lt;="&amp;A21),0)</f>
        <v>0</v>
      </c>
      <c r="N21" s="8"/>
    </row>
    <row r="22" spans="1:14">
      <c r="A22" s="13">
        <v>46327</v>
      </c>
      <c r="B22" t="s">
        <v>29</v>
      </c>
      <c r="C22" t="s">
        <v>19</v>
      </c>
      <c r="D22" t="s">
        <v>30</v>
      </c>
      <c r="E22" s="7"/>
      <c r="F22" s="7"/>
      <c r="G22" s="7"/>
      <c r="H22" s="7"/>
      <c r="I22" s="7"/>
      <c r="J22" s="4">
        <f>IFERROR(I22-E22-F22+G22+H22,0)</f>
        <v>0</v>
      </c>
      <c r="K22" s="6">
        <f>IFERROR(J22/(E22+F22),0)</f>
        <v>0</v>
      </c>
      <c r="L22" s="6">
        <f>IFERROR(K22-SUMIFS($K$4:K22,$B$4:B22,B22,$C$4:C22,C22,$A$4:A22,EDATE(A22,-1)),K22)</f>
        <v>0</v>
      </c>
      <c r="M22" s="6">
        <f>IFERROR((I22+SUMIFS($G$4:G22,$B$4:B22,B22,$C$4:C22,C22,$A$4:A22,"&lt;="&amp;A22)+SUMIFS($H$4:H22,$B$4:B22,B22,$C$4:C22,C22,$A$4:A22,"&lt;="&amp;A22)-SUMIFS($F$4:F22,$B$4:B22,B22,$C$4:C22,C22,$A$4:A22,"&lt;="&amp;A22))/SUMIFS($F$4:F22,$B$4:B22,B22,$C$4:C22,C22,$A$4:A22,"&lt;="&amp;A22),0)</f>
        <v>0</v>
      </c>
      <c r="N22" s="8"/>
    </row>
    <row r="23" spans="1:14">
      <c r="A23" s="13">
        <v>46327</v>
      </c>
      <c r="B23" t="s">
        <v>29</v>
      </c>
      <c r="C23" t="s">
        <v>23</v>
      </c>
      <c r="D23" t="s">
        <v>31</v>
      </c>
      <c r="E23" s="7"/>
      <c r="F23" s="7"/>
      <c r="G23" s="7"/>
      <c r="H23" s="7"/>
      <c r="I23" s="7"/>
      <c r="J23" s="4">
        <f>IFERROR(I23-E23-F23+G23+H23,0)</f>
        <v>0</v>
      </c>
      <c r="K23" s="6">
        <f>IFERROR(J23/(E23+F23),0)</f>
        <v>0</v>
      </c>
      <c r="L23" s="6">
        <f>IFERROR(K23-SUMIFS($K$4:K23,$B$4:B23,B23,$C$4:C23,C23,$A$4:A23,EDATE(A23,-1)),K23)</f>
        <v>0</v>
      </c>
      <c r="M23" s="6">
        <f>IFERROR((I23+SUMIFS($G$4:G23,$B$4:B23,B23,$C$4:C23,C23,$A$4:A23,"&lt;="&amp;A23)+SUMIFS($H$4:H23,$B$4:B23,B23,$C$4:C23,C23,$A$4:A23,"&lt;="&amp;A23)-SUMIFS($F$4:F23,$B$4:B23,B23,$C$4:C23,C23,$A$4:A23,"&lt;="&amp;A23))/SUMIFS($F$4:F23,$B$4:B23,B23,$C$4:C23,C23,$A$4:A23,"&lt;="&amp;A23),0)</f>
        <v>0</v>
      </c>
      <c r="N23" s="8"/>
    </row>
    <row r="24" spans="1:14">
      <c r="A24" s="13">
        <v>46327</v>
      </c>
      <c r="B24" t="s">
        <v>32</v>
      </c>
      <c r="C24" t="s">
        <v>19</v>
      </c>
      <c r="D24" t="s">
        <v>33</v>
      </c>
      <c r="E24" s="7"/>
      <c r="F24" s="7"/>
      <c r="G24" s="7"/>
      <c r="H24" s="7"/>
      <c r="I24" s="7"/>
      <c r="J24" s="4">
        <f>IFERROR(I24-E24-F24+G24+H24,0)</f>
        <v>0</v>
      </c>
      <c r="K24" s="6">
        <f>IFERROR(J24/(E24+F24),0)</f>
        <v>0</v>
      </c>
      <c r="L24" s="6">
        <f>IFERROR(K24-SUMIFS($K$4:K24,$B$4:B24,B24,$C$4:C24,C24,$A$4:A24,EDATE(A24,-1)),K24)</f>
        <v>0</v>
      </c>
      <c r="M24" s="6">
        <f>IFERROR((I24+SUMIFS($G$4:G24,$B$4:B24,B24,$C$4:C24,C24,$A$4:A24,"&lt;="&amp;A24)+SUMIFS($H$4:H24,$B$4:B24,B24,$C$4:C24,C24,$A$4:A24,"&lt;="&amp;A24)-SUMIFS($F$4:F24,$B$4:B24,B24,$C$4:C24,C24,$A$4:A24,"&lt;="&amp;A24))/SUMIFS($F$4:F24,$B$4:B24,B24,$C$4:C24,C24,$A$4:A24,"&lt;="&amp;A24),0)</f>
        <v>0</v>
      </c>
      <c r="N24" s="8"/>
    </row>
    <row r="25" spans="1:14">
      <c r="A25" s="13">
        <v>46327</v>
      </c>
      <c r="B25" t="s">
        <v>32</v>
      </c>
      <c r="C25" t="s">
        <v>23</v>
      </c>
      <c r="D25" t="s">
        <v>34</v>
      </c>
      <c r="E25" s="7"/>
      <c r="F25" s="7"/>
      <c r="G25" s="7"/>
      <c r="H25" s="7"/>
      <c r="I25" s="7"/>
      <c r="J25" s="4">
        <f>IFERROR(I25-E25-F25+G25+H25,0)</f>
        <v>0</v>
      </c>
      <c r="K25" s="6">
        <f>IFERROR(J25/(E25+F25),0)</f>
        <v>0</v>
      </c>
      <c r="L25" s="6">
        <f>IFERROR(K25-SUMIFS($K$4:K25,$B$4:B25,B25,$C$4:C25,C25,$A$4:A25,EDATE(A25,-1)),K25)</f>
        <v>0</v>
      </c>
      <c r="M25" s="6">
        <f>IFERROR((I25+SUMIFS($G$4:G25,$B$4:B25,B25,$C$4:C25,C25,$A$4:A25,"&lt;="&amp;A25)+SUMIFS($H$4:H25,$B$4:B25,B25,$C$4:C25,C25,$A$4:A25,"&lt;="&amp;A25)-SUMIFS($F$4:F25,$B$4:B25,B25,$C$4:C25,C25,$A$4:A25,"&lt;="&amp;A25))/SUMIFS($F$4:F25,$B$4:B25,B25,$C$4:C25,C25,$A$4:A25,"&lt;="&amp;A25),0)</f>
        <v>0</v>
      </c>
      <c r="N25" s="8"/>
    </row>
    <row r="26" spans="1:14">
      <c r="A26" s="13">
        <v>46327</v>
      </c>
      <c r="B26" t="s">
        <v>35</v>
      </c>
      <c r="C26" t="s">
        <v>19</v>
      </c>
      <c r="D26" t="s">
        <v>36</v>
      </c>
      <c r="E26" s="7"/>
      <c r="F26" s="7"/>
      <c r="G26" s="7"/>
      <c r="H26" s="7"/>
      <c r="I26" s="7"/>
      <c r="J26" s="4">
        <f>IFERROR(I26-E26-F26+G26+H26,0)</f>
        <v>0</v>
      </c>
      <c r="K26" s="6">
        <f>IFERROR(J26/(E26+F26),0)</f>
        <v>0</v>
      </c>
      <c r="L26" s="6">
        <f>IFERROR(K26-SUMIFS($K$4:K26,$B$4:B26,B26,$C$4:C26,C26,$A$4:A26,EDATE(A26,-1)),K26)</f>
        <v>0</v>
      </c>
      <c r="M26" s="6">
        <f>IFERROR((I26+SUMIFS($G$4:G26,$B$4:B26,B26,$C$4:C26,C26,$A$4:A26,"&lt;="&amp;A26)+SUMIFS($H$4:H26,$B$4:B26,B26,$C$4:C26,C26,$A$4:A26,"&lt;="&amp;A26)-SUMIFS($F$4:F26,$B$4:B26,B26,$C$4:C26,C26,$A$4:A26,"&lt;="&amp;A26))/SUMIFS($F$4:F26,$B$4:B26,B26,$C$4:C26,C26,$A$4:A26,"&lt;="&amp;A26),0)</f>
        <v>0</v>
      </c>
      <c r="N26" s="8"/>
    </row>
    <row r="27" spans="1:14">
      <c r="A27" s="13">
        <v>46327</v>
      </c>
      <c r="B27" t="s">
        <v>35</v>
      </c>
      <c r="C27" t="s">
        <v>23</v>
      </c>
      <c r="D27" t="s">
        <v>37</v>
      </c>
      <c r="E27" s="7"/>
      <c r="F27" s="7"/>
      <c r="G27" s="7"/>
      <c r="H27" s="7"/>
      <c r="I27" s="7"/>
      <c r="J27" s="4">
        <f>IFERROR(I27-E27-F27+G27+H27,0)</f>
        <v>0</v>
      </c>
      <c r="K27" s="6">
        <f>IFERROR(J27/(E27+F27),0)</f>
        <v>0</v>
      </c>
      <c r="L27" s="6">
        <f>IFERROR(K27-SUMIFS($K$4:K27,$B$4:B27,B27,$C$4:C27,C27,$A$4:A27,EDATE(A27,-1)),K27)</f>
        <v>0</v>
      </c>
      <c r="M27" s="6">
        <f>IFERROR((I27+SUMIFS($G$4:G27,$B$4:B27,B27,$C$4:C27,C27,$A$4:A27,"&lt;="&amp;A27)+SUMIFS($H$4:H27,$B$4:B27,B27,$C$4:C27,C27,$A$4:A27,"&lt;="&amp;A27)-SUMIFS($F$4:F27,$B$4:B27,B27,$C$4:C27,C27,$A$4:A27,"&lt;="&amp;A27))/SUMIFS($F$4:F27,$B$4:B27,B27,$C$4:C27,C27,$A$4:A27,"&lt;="&amp;A27),0)</f>
        <v>0</v>
      </c>
      <c r="N27" s="8"/>
    </row>
    <row r="28" spans="1:14">
      <c r="A28" s="13">
        <v>46327</v>
      </c>
      <c r="B28" t="s">
        <v>38</v>
      </c>
      <c r="C28" t="s">
        <v>19</v>
      </c>
      <c r="D28" t="s">
        <v>39</v>
      </c>
      <c r="E28" s="7"/>
      <c r="F28" s="7"/>
      <c r="G28" s="7"/>
      <c r="H28" s="7"/>
      <c r="I28" s="7"/>
      <c r="J28" s="4">
        <f>IFERROR(I28-E28-F28+G28+H28,0)</f>
        <v>0</v>
      </c>
      <c r="K28" s="6">
        <f>IFERROR(J28/(E28+F28),0)</f>
        <v>0</v>
      </c>
      <c r="L28" s="6">
        <f>IFERROR(K28-SUMIFS($K$4:K28,$B$4:B28,B28,$C$4:C28,C28,$A$4:A28,EDATE(A28,-1)),K28)</f>
        <v>0</v>
      </c>
      <c r="M28" s="6">
        <f>IFERROR((I28+SUMIFS($G$4:G28,$B$4:B28,B28,$C$4:C28,C28,$A$4:A28,"&lt;="&amp;A28)+SUMIFS($H$4:H28,$B$4:B28,B28,$C$4:C28,C28,$A$4:A28,"&lt;="&amp;A28)-SUMIFS($F$4:F28,$B$4:B28,B28,$C$4:C28,C28,$A$4:A28,"&lt;="&amp;A28))/SUMIFS($F$4:F28,$B$4:B28,B28,$C$4:C28,C28,$A$4:A28,"&lt;="&amp;A28),0)</f>
        <v>0</v>
      </c>
      <c r="N28" s="8"/>
    </row>
    <row r="29" spans="1:14">
      <c r="A29" s="13">
        <v>46327</v>
      </c>
      <c r="B29" t="s">
        <v>38</v>
      </c>
      <c r="C29" t="s">
        <v>23</v>
      </c>
      <c r="D29" t="s">
        <v>40</v>
      </c>
      <c r="E29" s="7"/>
      <c r="F29" s="7"/>
      <c r="G29" s="7"/>
      <c r="H29" s="7"/>
      <c r="I29" s="7"/>
      <c r="J29" s="4">
        <f>IFERROR(I29-E29-F29+G29+H29,0)</f>
        <v>0</v>
      </c>
      <c r="K29" s="6">
        <f>IFERROR(J29/(E29+F29),0)</f>
        <v>0</v>
      </c>
      <c r="L29" s="6">
        <f>IFERROR(K29-SUMIFS($K$4:K29,$B$4:B29,B29,$C$4:C29,C29,$A$4:A29,EDATE(A29,-1)),K29)</f>
        <v>0</v>
      </c>
      <c r="M29" s="6">
        <f>IFERROR((I29+SUMIFS($G$4:G29,$B$4:B29,B29,$C$4:C29,C29,$A$4:A29,"&lt;="&amp;A29)+SUMIFS($H$4:H29,$B$4:B29,B29,$C$4:C29,C29,$A$4:A29,"&lt;="&amp;A29)-SUMIFS($F$4:F29,$B$4:B29,B29,$C$4:C29,C29,$A$4:A29,"&lt;="&amp;A29))/SUMIFS($F$4:F29,$B$4:B29,B29,$C$4:C29,C29,$A$4:A29,"&lt;="&amp;A29),0)</f>
        <v>0</v>
      </c>
      <c r="N29" s="8"/>
    </row>
    <row r="30" spans="1:14">
      <c r="A30" s="13">
        <v>46327</v>
      </c>
      <c r="B30" t="s">
        <v>41</v>
      </c>
      <c r="C30" t="s">
        <v>19</v>
      </c>
      <c r="D30" t="s">
        <v>42</v>
      </c>
      <c r="E30" s="7"/>
      <c r="F30" s="7"/>
      <c r="G30" s="7"/>
      <c r="H30" s="7"/>
      <c r="I30" s="7"/>
      <c r="J30" s="4">
        <f>IFERROR(I30-E30-F30+G30+H30,0)</f>
        <v>0</v>
      </c>
      <c r="K30" s="6">
        <f>IFERROR(J30/(E30+F30),0)</f>
        <v>0</v>
      </c>
      <c r="L30" s="6">
        <f>IFERROR(K30-SUMIFS($K$4:K30,$B$4:B30,B30,$C$4:C30,C30,$A$4:A30,EDATE(A30,-1)),K30)</f>
        <v>0</v>
      </c>
      <c r="M30" s="6">
        <f>IFERROR((I30+SUMIFS($G$4:G30,$B$4:B30,B30,$C$4:C30,C30,$A$4:A30,"&lt;="&amp;A30)+SUMIFS($H$4:H30,$B$4:B30,B30,$C$4:C30,C30,$A$4:A30,"&lt;="&amp;A30)-SUMIFS($F$4:F30,$B$4:B30,B30,$C$4:C30,C30,$A$4:A30,"&lt;="&amp;A30))/SUMIFS($F$4:F30,$B$4:B30,B30,$C$4:C30,C30,$A$4:A30,"&lt;="&amp;A30),0)</f>
        <v>0</v>
      </c>
      <c r="N30" s="8"/>
    </row>
    <row r="31" spans="1:14">
      <c r="A31" s="13">
        <v>46327</v>
      </c>
      <c r="B31" t="s">
        <v>41</v>
      </c>
      <c r="C31" t="s">
        <v>23</v>
      </c>
      <c r="D31" t="s">
        <v>43</v>
      </c>
      <c r="E31" s="7"/>
      <c r="F31" s="7"/>
      <c r="G31" s="7"/>
      <c r="H31" s="7"/>
      <c r="I31" s="7"/>
      <c r="J31" s="4">
        <f>IFERROR(I31-E31-F31+G31+H31,0)</f>
        <v>0</v>
      </c>
      <c r="K31" s="6">
        <f>IFERROR(J31/(E31+F31),0)</f>
        <v>0</v>
      </c>
      <c r="L31" s="6">
        <f>IFERROR(K31-SUMIFS($K$4:K31,$B$4:B31,B31,$C$4:C31,C31,$A$4:A31,EDATE(A31,-1)),K31)</f>
        <v>0</v>
      </c>
      <c r="M31" s="6">
        <f>IFERROR((I31+SUMIFS($G$4:G31,$B$4:B31,B31,$C$4:C31,C31,$A$4:A31,"&lt;="&amp;A31)+SUMIFS($H$4:H31,$B$4:B31,B31,$C$4:C31,C31,$A$4:A31,"&lt;="&amp;A31)-SUMIFS($F$4:F31,$B$4:B31,B31,$C$4:C31,C31,$A$4:A31,"&lt;="&amp;A31))/SUMIFS($F$4:F31,$B$4:B31,B31,$C$4:C31,C31,$A$4:A31,"&lt;="&amp;A31),0)</f>
        <v>0</v>
      </c>
      <c r="N31" s="8"/>
    </row>
    <row r="32" spans="1:14">
      <c r="A32" s="13">
        <v>46357</v>
      </c>
      <c r="B32" t="s">
        <v>18</v>
      </c>
      <c r="C32" t="s">
        <v>19</v>
      </c>
      <c r="D32" t="s">
        <v>21</v>
      </c>
      <c r="E32" s="7"/>
      <c r="F32" s="7"/>
      <c r="G32" s="7"/>
      <c r="H32" s="7"/>
      <c r="I32" s="7"/>
      <c r="J32" s="4">
        <f>IFERROR(I32-E32-F32+G32+H32,0)</f>
        <v>0</v>
      </c>
      <c r="K32" s="6">
        <f>IFERROR(J32/(E32+F32),0)</f>
        <v>0</v>
      </c>
      <c r="L32" s="6">
        <f>IFERROR(K32-SUMIFS($K$4:K32,$B$4:B32,B32,$C$4:C32,C32,$A$4:A32,EDATE(A32,-1)),K32)</f>
        <v>0</v>
      </c>
      <c r="M32" s="6">
        <f>IFERROR((I32+SUMIFS($G$4:G32,$B$4:B32,B32,$C$4:C32,C32,$A$4:A32,"&lt;="&amp;A32)+SUMIFS($H$4:H32,$B$4:B32,B32,$C$4:C32,C32,$A$4:A32,"&lt;="&amp;A32)-SUMIFS($F$4:F32,$B$4:B32,B32,$C$4:C32,C32,$A$4:A32,"&lt;="&amp;A32))/SUMIFS($F$4:F32,$B$4:B32,B32,$C$4:C32,C32,$A$4:A32,"&lt;="&amp;A32),0)</f>
        <v>0</v>
      </c>
      <c r="N32" s="8"/>
    </row>
    <row r="33" spans="1:14">
      <c r="A33" s="13">
        <v>46357</v>
      </c>
      <c r="B33" t="s">
        <v>18</v>
      </c>
      <c r="C33" t="s">
        <v>23</v>
      </c>
      <c r="D33" t="s">
        <v>24</v>
      </c>
      <c r="E33" s="7"/>
      <c r="F33" s="7"/>
      <c r="G33" s="7"/>
      <c r="H33" s="7"/>
      <c r="I33" s="7"/>
      <c r="J33" s="4">
        <f>IFERROR(I33-E33-F33+G33+H33,0)</f>
        <v>0</v>
      </c>
      <c r="K33" s="6">
        <f>IFERROR(J33/(E33+F33),0)</f>
        <v>0</v>
      </c>
      <c r="L33" s="6">
        <f>IFERROR(K33-SUMIFS($K$4:K33,$B$4:B33,B33,$C$4:C33,C33,$A$4:A33,EDATE(A33,-1)),K33)</f>
        <v>0</v>
      </c>
      <c r="M33" s="6">
        <f>IFERROR((I33+SUMIFS($G$4:G33,$B$4:B33,B33,$C$4:C33,C33,$A$4:A33,"&lt;="&amp;A33)+SUMIFS($H$4:H33,$B$4:B33,B33,$C$4:C33,C33,$A$4:A33,"&lt;="&amp;A33)-SUMIFS($F$4:F33,$B$4:B33,B33,$C$4:C33,C33,$A$4:A33,"&lt;="&amp;A33))/SUMIFS($F$4:F33,$B$4:B33,B33,$C$4:C33,C33,$A$4:A33,"&lt;="&amp;A33),0)</f>
        <v>0</v>
      </c>
      <c r="N33" s="8"/>
    </row>
    <row r="34" spans="1:14">
      <c r="A34" s="13">
        <v>46357</v>
      </c>
      <c r="B34" t="s">
        <v>26</v>
      </c>
      <c r="C34" t="s">
        <v>19</v>
      </c>
      <c r="D34" t="s">
        <v>27</v>
      </c>
      <c r="E34" s="7"/>
      <c r="F34" s="7"/>
      <c r="G34" s="7"/>
      <c r="H34" s="7"/>
      <c r="I34" s="7"/>
      <c r="J34" s="4">
        <f>IFERROR(I34-E34-F34+G34+H34,0)</f>
        <v>0</v>
      </c>
      <c r="K34" s="6">
        <f>IFERROR(J34/(E34+F34),0)</f>
        <v>0</v>
      </c>
      <c r="L34" s="6">
        <f>IFERROR(K34-SUMIFS($K$4:K34,$B$4:B34,B34,$C$4:C34,C34,$A$4:A34,EDATE(A34,-1)),K34)</f>
        <v>0</v>
      </c>
      <c r="M34" s="6">
        <f>IFERROR((I34+SUMIFS($G$4:G34,$B$4:B34,B34,$C$4:C34,C34,$A$4:A34,"&lt;="&amp;A34)+SUMIFS($H$4:H34,$B$4:B34,B34,$C$4:C34,C34,$A$4:A34,"&lt;="&amp;A34)-SUMIFS($F$4:F34,$B$4:B34,B34,$C$4:C34,C34,$A$4:A34,"&lt;="&amp;A34))/SUMIFS($F$4:F34,$B$4:B34,B34,$C$4:C34,C34,$A$4:A34,"&lt;="&amp;A34),0)</f>
        <v>0</v>
      </c>
      <c r="N34" s="8"/>
    </row>
    <row r="35" spans="1:14">
      <c r="A35" s="13">
        <v>46357</v>
      </c>
      <c r="B35" t="s">
        <v>26</v>
      </c>
      <c r="C35" t="s">
        <v>23</v>
      </c>
      <c r="D35" t="s">
        <v>28</v>
      </c>
      <c r="E35" s="7"/>
      <c r="F35" s="7"/>
      <c r="G35" s="7"/>
      <c r="H35" s="7"/>
      <c r="I35" s="7"/>
      <c r="J35" s="4">
        <f>IFERROR(I35-E35-F35+G35+H35,0)</f>
        <v>0</v>
      </c>
      <c r="K35" s="6">
        <f>IFERROR(J35/(E35+F35),0)</f>
        <v>0</v>
      </c>
      <c r="L35" s="6">
        <f>IFERROR(K35-SUMIFS($K$4:K35,$B$4:B35,B35,$C$4:C35,C35,$A$4:A35,EDATE(A35,-1)),K35)</f>
        <v>0</v>
      </c>
      <c r="M35" s="6">
        <f>IFERROR((I35+SUMIFS($G$4:G35,$B$4:B35,B35,$C$4:C35,C35,$A$4:A35,"&lt;="&amp;A35)+SUMIFS($H$4:H35,$B$4:B35,B35,$C$4:C35,C35,$A$4:A35,"&lt;="&amp;A35)-SUMIFS($F$4:F35,$B$4:B35,B35,$C$4:C35,C35,$A$4:A35,"&lt;="&amp;A35))/SUMIFS($F$4:F35,$B$4:B35,B35,$C$4:C35,C35,$A$4:A35,"&lt;="&amp;A35),0)</f>
        <v>0</v>
      </c>
      <c r="N35" s="8"/>
    </row>
    <row r="36" spans="1:14">
      <c r="A36" s="13">
        <v>46357</v>
      </c>
      <c r="B36" t="s">
        <v>29</v>
      </c>
      <c r="C36" t="s">
        <v>19</v>
      </c>
      <c r="D36" t="s">
        <v>30</v>
      </c>
      <c r="E36" s="7"/>
      <c r="F36" s="7"/>
      <c r="G36" s="7"/>
      <c r="H36" s="7"/>
      <c r="I36" s="7"/>
      <c r="J36" s="4">
        <f>IFERROR(I36-E36-F36+G36+H36,0)</f>
        <v>0</v>
      </c>
      <c r="K36" s="6">
        <f>IFERROR(J36/(E36+F36),0)</f>
        <v>0</v>
      </c>
      <c r="L36" s="6">
        <f>IFERROR(K36-SUMIFS($K$4:K36,$B$4:B36,B36,$C$4:C36,C36,$A$4:A36,EDATE(A36,-1)),K36)</f>
        <v>0</v>
      </c>
      <c r="M36" s="6">
        <f>IFERROR((I36+SUMIFS($G$4:G36,$B$4:B36,B36,$C$4:C36,C36,$A$4:A36,"&lt;="&amp;A36)+SUMIFS($H$4:H36,$B$4:B36,B36,$C$4:C36,C36,$A$4:A36,"&lt;="&amp;A36)-SUMIFS($F$4:F36,$B$4:B36,B36,$C$4:C36,C36,$A$4:A36,"&lt;="&amp;A36))/SUMIFS($F$4:F36,$B$4:B36,B36,$C$4:C36,C36,$A$4:A36,"&lt;="&amp;A36),0)</f>
        <v>0</v>
      </c>
      <c r="N36" s="8"/>
    </row>
    <row r="37" spans="1:14">
      <c r="A37" s="13">
        <v>46357</v>
      </c>
      <c r="B37" t="s">
        <v>29</v>
      </c>
      <c r="C37" t="s">
        <v>23</v>
      </c>
      <c r="D37" t="s">
        <v>31</v>
      </c>
      <c r="E37" s="7"/>
      <c r="F37" s="7"/>
      <c r="G37" s="7"/>
      <c r="H37" s="7"/>
      <c r="I37" s="7"/>
      <c r="J37" s="4">
        <f>IFERROR(I37-E37-F37+G37+H37,0)</f>
        <v>0</v>
      </c>
      <c r="K37" s="6">
        <f>IFERROR(J37/(E37+F37),0)</f>
        <v>0</v>
      </c>
      <c r="L37" s="6">
        <f>IFERROR(K37-SUMIFS($K$4:K37,$B$4:B37,B37,$C$4:C37,C37,$A$4:A37,EDATE(A37,-1)),K37)</f>
        <v>0</v>
      </c>
      <c r="M37" s="6">
        <f>IFERROR((I37+SUMIFS($G$4:G37,$B$4:B37,B37,$C$4:C37,C37,$A$4:A37,"&lt;="&amp;A37)+SUMIFS($H$4:H37,$B$4:B37,B37,$C$4:C37,C37,$A$4:A37,"&lt;="&amp;A37)-SUMIFS($F$4:F37,$B$4:B37,B37,$C$4:C37,C37,$A$4:A37,"&lt;="&amp;A37))/SUMIFS($F$4:F37,$B$4:B37,B37,$C$4:C37,C37,$A$4:A37,"&lt;="&amp;A37),0)</f>
        <v>0</v>
      </c>
      <c r="N37" s="8"/>
    </row>
    <row r="38" spans="1:14">
      <c r="A38" s="13">
        <v>46357</v>
      </c>
      <c r="B38" t="s">
        <v>32</v>
      </c>
      <c r="C38" t="s">
        <v>19</v>
      </c>
      <c r="D38" t="s">
        <v>33</v>
      </c>
      <c r="E38" s="7"/>
      <c r="F38" s="7"/>
      <c r="G38" s="7"/>
      <c r="H38" s="7"/>
      <c r="I38" s="7"/>
      <c r="J38" s="4">
        <f>IFERROR(I38-E38-F38+G38+H38,0)</f>
        <v>0</v>
      </c>
      <c r="K38" s="6">
        <f>IFERROR(J38/(E38+F38),0)</f>
        <v>0</v>
      </c>
      <c r="L38" s="6">
        <f>IFERROR(K38-SUMIFS($K$4:K38,$B$4:B38,B38,$C$4:C38,C38,$A$4:A38,EDATE(A38,-1)),K38)</f>
        <v>0</v>
      </c>
      <c r="M38" s="6">
        <f>IFERROR((I38+SUMIFS($G$4:G38,$B$4:B38,B38,$C$4:C38,C38,$A$4:A38,"&lt;="&amp;A38)+SUMIFS($H$4:H38,$B$4:B38,B38,$C$4:C38,C38,$A$4:A38,"&lt;="&amp;A38)-SUMIFS($F$4:F38,$B$4:B38,B38,$C$4:C38,C38,$A$4:A38,"&lt;="&amp;A38))/SUMIFS($F$4:F38,$B$4:B38,B38,$C$4:C38,C38,$A$4:A38,"&lt;="&amp;A38),0)</f>
        <v>0</v>
      </c>
      <c r="N38" s="8"/>
    </row>
    <row r="39" spans="1:14">
      <c r="A39" s="13">
        <v>46357</v>
      </c>
      <c r="B39" t="s">
        <v>32</v>
      </c>
      <c r="C39" t="s">
        <v>23</v>
      </c>
      <c r="D39" t="s">
        <v>34</v>
      </c>
      <c r="E39" s="7"/>
      <c r="F39" s="7"/>
      <c r="G39" s="7"/>
      <c r="H39" s="7"/>
      <c r="I39" s="7"/>
      <c r="J39" s="4">
        <f>IFERROR(I39-E39-F39+G39+H39,0)</f>
        <v>0</v>
      </c>
      <c r="K39" s="6">
        <f>IFERROR(J39/(E39+F39),0)</f>
        <v>0</v>
      </c>
      <c r="L39" s="6">
        <f>IFERROR(K39-SUMIFS($K$4:K39,$B$4:B39,B39,$C$4:C39,C39,$A$4:A39,EDATE(A39,-1)),K39)</f>
        <v>0</v>
      </c>
      <c r="M39" s="6">
        <f>IFERROR((I39+SUMIFS($G$4:G39,$B$4:B39,B39,$C$4:C39,C39,$A$4:A39,"&lt;="&amp;A39)+SUMIFS($H$4:H39,$B$4:B39,B39,$C$4:C39,C39,$A$4:A39,"&lt;="&amp;A39)-SUMIFS($F$4:F39,$B$4:B39,B39,$C$4:C39,C39,$A$4:A39,"&lt;="&amp;A39))/SUMIFS($F$4:F39,$B$4:B39,B39,$C$4:C39,C39,$A$4:A39,"&lt;="&amp;A39),0)</f>
        <v>0</v>
      </c>
      <c r="N39" s="8"/>
    </row>
    <row r="40" spans="1:14">
      <c r="A40" s="13">
        <v>46357</v>
      </c>
      <c r="B40" t="s">
        <v>35</v>
      </c>
      <c r="C40" t="s">
        <v>19</v>
      </c>
      <c r="D40" t="s">
        <v>36</v>
      </c>
      <c r="E40" s="7"/>
      <c r="F40" s="7"/>
      <c r="G40" s="7"/>
      <c r="H40" s="7"/>
      <c r="I40" s="7"/>
      <c r="J40" s="4">
        <f>IFERROR(I40-E40-F40+G40+H40,0)</f>
        <v>0</v>
      </c>
      <c r="K40" s="6">
        <f>IFERROR(J40/(E40+F40),0)</f>
        <v>0</v>
      </c>
      <c r="L40" s="6">
        <f>IFERROR(K40-SUMIFS($K$4:K40,$B$4:B40,B40,$C$4:C40,C40,$A$4:A40,EDATE(A40,-1)),K40)</f>
        <v>0</v>
      </c>
      <c r="M40" s="6">
        <f>IFERROR((I40+SUMIFS($G$4:G40,$B$4:B40,B40,$C$4:C40,C40,$A$4:A40,"&lt;="&amp;A40)+SUMIFS($H$4:H40,$B$4:B40,B40,$C$4:C40,C40,$A$4:A40,"&lt;="&amp;A40)-SUMIFS($F$4:F40,$B$4:B40,B40,$C$4:C40,C40,$A$4:A40,"&lt;="&amp;A40))/SUMIFS($F$4:F40,$B$4:B40,B40,$C$4:C40,C40,$A$4:A40,"&lt;="&amp;A40),0)</f>
        <v>0</v>
      </c>
      <c r="N40" s="8"/>
    </row>
    <row r="41" spans="1:14">
      <c r="A41" s="13">
        <v>46357</v>
      </c>
      <c r="B41" t="s">
        <v>35</v>
      </c>
      <c r="C41" t="s">
        <v>23</v>
      </c>
      <c r="D41" t="s">
        <v>37</v>
      </c>
      <c r="E41" s="7"/>
      <c r="F41" s="7"/>
      <c r="G41" s="7"/>
      <c r="H41" s="7"/>
      <c r="I41" s="7"/>
      <c r="J41" s="4">
        <f>IFERROR(I41-E41-F41+G41+H41,0)</f>
        <v>0</v>
      </c>
      <c r="K41" s="6">
        <f>IFERROR(J41/(E41+F41),0)</f>
        <v>0</v>
      </c>
      <c r="L41" s="6">
        <f>IFERROR(K41-SUMIFS($K$4:K41,$B$4:B41,B41,$C$4:C41,C41,$A$4:A41,EDATE(A41,-1)),K41)</f>
        <v>0</v>
      </c>
      <c r="M41" s="6">
        <f>IFERROR((I41+SUMIFS($G$4:G41,$B$4:B41,B41,$C$4:C41,C41,$A$4:A41,"&lt;="&amp;A41)+SUMIFS($H$4:H41,$B$4:B41,B41,$C$4:C41,C41,$A$4:A41,"&lt;="&amp;A41)-SUMIFS($F$4:F41,$B$4:B41,B41,$C$4:C41,C41,$A$4:A41,"&lt;="&amp;A41))/SUMIFS($F$4:F41,$B$4:B41,B41,$C$4:C41,C41,$A$4:A41,"&lt;="&amp;A41),0)</f>
        <v>0</v>
      </c>
      <c r="N41" s="8"/>
    </row>
    <row r="42" spans="1:14">
      <c r="A42" s="13">
        <v>46357</v>
      </c>
      <c r="B42" t="s">
        <v>38</v>
      </c>
      <c r="C42" t="s">
        <v>19</v>
      </c>
      <c r="D42" t="s">
        <v>39</v>
      </c>
      <c r="E42" s="7"/>
      <c r="F42" s="7"/>
      <c r="G42" s="7"/>
      <c r="H42" s="7"/>
      <c r="I42" s="7"/>
      <c r="J42" s="4">
        <f>IFERROR(I42-E42-F42+G42+H42,0)</f>
        <v>0</v>
      </c>
      <c r="K42" s="6">
        <f>IFERROR(J42/(E42+F42),0)</f>
        <v>0</v>
      </c>
      <c r="L42" s="6">
        <f>IFERROR(K42-SUMIFS($K$4:K42,$B$4:B42,B42,$C$4:C42,C42,$A$4:A42,EDATE(A42,-1)),K42)</f>
        <v>0</v>
      </c>
      <c r="M42" s="6">
        <f>IFERROR((I42+SUMIFS($G$4:G42,$B$4:B42,B42,$C$4:C42,C42,$A$4:A42,"&lt;="&amp;A42)+SUMIFS($H$4:H42,$B$4:B42,B42,$C$4:C42,C42,$A$4:A42,"&lt;="&amp;A42)-SUMIFS($F$4:F42,$B$4:B42,B42,$C$4:C42,C42,$A$4:A42,"&lt;="&amp;A42))/SUMIFS($F$4:F42,$B$4:B42,B42,$C$4:C42,C42,$A$4:A42,"&lt;="&amp;A42),0)</f>
        <v>0</v>
      </c>
      <c r="N42" s="8"/>
    </row>
    <row r="43" spans="1:14">
      <c r="A43" s="13">
        <v>46357</v>
      </c>
      <c r="B43" t="s">
        <v>38</v>
      </c>
      <c r="C43" t="s">
        <v>23</v>
      </c>
      <c r="D43" t="s">
        <v>40</v>
      </c>
      <c r="E43" s="7"/>
      <c r="F43" s="7"/>
      <c r="G43" s="7"/>
      <c r="H43" s="7"/>
      <c r="I43" s="7"/>
      <c r="J43" s="4">
        <f>IFERROR(I43-E43-F43+G43+H43,0)</f>
        <v>0</v>
      </c>
      <c r="K43" s="6">
        <f>IFERROR(J43/(E43+F43),0)</f>
        <v>0</v>
      </c>
      <c r="L43" s="6">
        <f>IFERROR(K43-SUMIFS($K$4:K43,$B$4:B43,B43,$C$4:C43,C43,$A$4:A43,EDATE(A43,-1)),K43)</f>
        <v>0</v>
      </c>
      <c r="M43" s="6">
        <f>IFERROR((I43+SUMIFS($G$4:G43,$B$4:B43,B43,$C$4:C43,C43,$A$4:A43,"&lt;="&amp;A43)+SUMIFS($H$4:H43,$B$4:B43,B43,$C$4:C43,C43,$A$4:A43,"&lt;="&amp;A43)-SUMIFS($F$4:F43,$B$4:B43,B43,$C$4:C43,C43,$A$4:A43,"&lt;="&amp;A43))/SUMIFS($F$4:F43,$B$4:B43,B43,$C$4:C43,C43,$A$4:A43,"&lt;="&amp;A43),0)</f>
        <v>0</v>
      </c>
      <c r="N43" s="8"/>
    </row>
    <row r="44" spans="1:14">
      <c r="A44" s="13">
        <v>46357</v>
      </c>
      <c r="B44" t="s">
        <v>41</v>
      </c>
      <c r="C44" t="s">
        <v>19</v>
      </c>
      <c r="D44" t="s">
        <v>42</v>
      </c>
      <c r="E44" s="7"/>
      <c r="F44" s="7"/>
      <c r="G44" s="7"/>
      <c r="H44" s="7"/>
      <c r="I44" s="7"/>
      <c r="J44" s="4">
        <f>IFERROR(I44-E44-F44+G44+H44,0)</f>
        <v>0</v>
      </c>
      <c r="K44" s="6">
        <f>IFERROR(J44/(E44+F44),0)</f>
        <v>0</v>
      </c>
      <c r="L44" s="6">
        <f>IFERROR(K44-SUMIFS($K$4:K44,$B$4:B44,B44,$C$4:C44,C44,$A$4:A44,EDATE(A44,-1)),K44)</f>
        <v>0</v>
      </c>
      <c r="M44" s="6">
        <f>IFERROR((I44+SUMIFS($G$4:G44,$B$4:B44,B44,$C$4:C44,C44,$A$4:A44,"&lt;="&amp;A44)+SUMIFS($H$4:H44,$B$4:B44,B44,$C$4:C44,C44,$A$4:A44,"&lt;="&amp;A44)-SUMIFS($F$4:F44,$B$4:B44,B44,$C$4:C44,C44,$A$4:A44,"&lt;="&amp;A44))/SUMIFS($F$4:F44,$B$4:B44,B44,$C$4:C44,C44,$A$4:A44,"&lt;="&amp;A44),0)</f>
        <v>0</v>
      </c>
      <c r="N44" s="8"/>
    </row>
    <row r="45" spans="1:14">
      <c r="A45" s="13">
        <v>46357</v>
      </c>
      <c r="B45" t="s">
        <v>41</v>
      </c>
      <c r="C45" t="s">
        <v>23</v>
      </c>
      <c r="D45" t="s">
        <v>43</v>
      </c>
      <c r="E45" s="7"/>
      <c r="F45" s="7"/>
      <c r="G45" s="7"/>
      <c r="H45" s="7"/>
      <c r="I45" s="7"/>
      <c r="J45" s="4">
        <f>IFERROR(I45-E45-F45+G45+H45,0)</f>
        <v>0</v>
      </c>
      <c r="K45" s="6">
        <f>IFERROR(J45/(E45+F45),0)</f>
        <v>0</v>
      </c>
      <c r="L45" s="6">
        <f>IFERROR(K45-SUMIFS($K$4:K45,$B$4:B45,B45,$C$4:C45,C45,$A$4:A45,EDATE(A45,-1)),K45)</f>
        <v>0</v>
      </c>
      <c r="M45" s="6">
        <f>IFERROR((I45+SUMIFS($G$4:G45,$B$4:B45,B45,$C$4:C45,C45,$A$4:A45,"&lt;="&amp;A45)+SUMIFS($H$4:H45,$B$4:B45,B45,$C$4:C45,C45,$A$4:A45,"&lt;="&amp;A45)-SUMIFS($F$4:F45,$B$4:B45,B45,$C$4:C45,C45,$A$4:A45,"&lt;="&amp;A45))/SUMIFS($F$4:F45,$B$4:B45,B45,$C$4:C45,C45,$A$4:A45,"&lt;="&amp;A45),0)</f>
        <v>0</v>
      </c>
      <c r="N45" s="8"/>
    </row>
    <row r="46" spans="1:14">
      <c r="A46" s="13">
        <v>46388</v>
      </c>
      <c r="B46" t="s">
        <v>18</v>
      </c>
      <c r="C46" t="s">
        <v>19</v>
      </c>
      <c r="D46" t="s">
        <v>21</v>
      </c>
      <c r="E46" s="7"/>
      <c r="F46" s="7"/>
      <c r="G46" s="7"/>
      <c r="H46" s="7"/>
      <c r="I46" s="7"/>
      <c r="J46" s="4">
        <f>IFERROR(I46-E46-F46+G46+H46,0)</f>
        <v>0</v>
      </c>
      <c r="K46" s="6">
        <f>IFERROR(J46/(E46+F46),0)</f>
        <v>0</v>
      </c>
      <c r="L46" s="6">
        <f>IFERROR(K46-SUMIFS($K$4:K46,$B$4:B46,B46,$C$4:C46,C46,$A$4:A46,EDATE(A46,-1)),K46)</f>
        <v>0</v>
      </c>
      <c r="M46" s="6">
        <f>IFERROR((I46+SUMIFS($G$4:G46,$B$4:B46,B46,$C$4:C46,C46,$A$4:A46,"&lt;="&amp;A46)+SUMIFS($H$4:H46,$B$4:B46,B46,$C$4:C46,C46,$A$4:A46,"&lt;="&amp;A46)-SUMIFS($F$4:F46,$B$4:B46,B46,$C$4:C46,C46,$A$4:A46,"&lt;="&amp;A46))/SUMIFS($F$4:F46,$B$4:B46,B46,$C$4:C46,C46,$A$4:A46,"&lt;="&amp;A46),0)</f>
        <v>0</v>
      </c>
      <c r="N46" s="8"/>
    </row>
    <row r="47" spans="1:14">
      <c r="A47" s="13">
        <v>46388</v>
      </c>
      <c r="B47" t="s">
        <v>18</v>
      </c>
      <c r="C47" t="s">
        <v>23</v>
      </c>
      <c r="D47" t="s">
        <v>24</v>
      </c>
      <c r="E47" s="7"/>
      <c r="F47" s="7"/>
      <c r="G47" s="7"/>
      <c r="H47" s="7"/>
      <c r="I47" s="7"/>
      <c r="J47" s="4">
        <f>IFERROR(I47-E47-F47+G47+H47,0)</f>
        <v>0</v>
      </c>
      <c r="K47" s="6">
        <f>IFERROR(J47/(E47+F47),0)</f>
        <v>0</v>
      </c>
      <c r="L47" s="6">
        <f>IFERROR(K47-SUMIFS($K$4:K47,$B$4:B47,B47,$C$4:C47,C47,$A$4:A47,EDATE(A47,-1)),K47)</f>
        <v>0</v>
      </c>
      <c r="M47" s="6">
        <f>IFERROR((I47+SUMIFS($G$4:G47,$B$4:B47,B47,$C$4:C47,C47,$A$4:A47,"&lt;="&amp;A47)+SUMIFS($H$4:H47,$B$4:B47,B47,$C$4:C47,C47,$A$4:A47,"&lt;="&amp;A47)-SUMIFS($F$4:F47,$B$4:B47,B47,$C$4:C47,C47,$A$4:A47,"&lt;="&amp;A47))/SUMIFS($F$4:F47,$B$4:B47,B47,$C$4:C47,C47,$A$4:A47,"&lt;="&amp;A47),0)</f>
        <v>0</v>
      </c>
      <c r="N47" s="8"/>
    </row>
    <row r="48" spans="1:14">
      <c r="A48" s="13">
        <v>46388</v>
      </c>
      <c r="B48" t="s">
        <v>26</v>
      </c>
      <c r="C48" t="s">
        <v>19</v>
      </c>
      <c r="D48" t="s">
        <v>27</v>
      </c>
      <c r="E48" s="7"/>
      <c r="F48" s="7"/>
      <c r="G48" s="7"/>
      <c r="H48" s="7"/>
      <c r="I48" s="7"/>
      <c r="J48" s="4">
        <f>IFERROR(I48-E48-F48+G48+H48,0)</f>
        <v>0</v>
      </c>
      <c r="K48" s="6">
        <f>IFERROR(J48/(E48+F48),0)</f>
        <v>0</v>
      </c>
      <c r="L48" s="6">
        <f>IFERROR(K48-SUMIFS($K$4:K48,$B$4:B48,B48,$C$4:C48,C48,$A$4:A48,EDATE(A48,-1)),K48)</f>
        <v>0</v>
      </c>
      <c r="M48" s="6">
        <f>IFERROR((I48+SUMIFS($G$4:G48,$B$4:B48,B48,$C$4:C48,C48,$A$4:A48,"&lt;="&amp;A48)+SUMIFS($H$4:H48,$B$4:B48,B48,$C$4:C48,C48,$A$4:A48,"&lt;="&amp;A48)-SUMIFS($F$4:F48,$B$4:B48,B48,$C$4:C48,C48,$A$4:A48,"&lt;="&amp;A48))/SUMIFS($F$4:F48,$B$4:B48,B48,$C$4:C48,C48,$A$4:A48,"&lt;="&amp;A48),0)</f>
        <v>0</v>
      </c>
      <c r="N48" s="8"/>
    </row>
    <row r="49" spans="1:14">
      <c r="A49" s="13">
        <v>46388</v>
      </c>
      <c r="B49" t="s">
        <v>26</v>
      </c>
      <c r="C49" t="s">
        <v>23</v>
      </c>
      <c r="D49" t="s">
        <v>28</v>
      </c>
      <c r="E49" s="7"/>
      <c r="F49" s="7"/>
      <c r="G49" s="7"/>
      <c r="H49" s="7"/>
      <c r="I49" s="7"/>
      <c r="J49" s="4">
        <f>IFERROR(I49-E49-F49+G49+H49,0)</f>
        <v>0</v>
      </c>
      <c r="K49" s="6">
        <f>IFERROR(J49/(E49+F49),0)</f>
        <v>0</v>
      </c>
      <c r="L49" s="6">
        <f>IFERROR(K49-SUMIFS($K$4:K49,$B$4:B49,B49,$C$4:C49,C49,$A$4:A49,EDATE(A49,-1)),K49)</f>
        <v>0</v>
      </c>
      <c r="M49" s="6">
        <f>IFERROR((I49+SUMIFS($G$4:G49,$B$4:B49,B49,$C$4:C49,C49,$A$4:A49,"&lt;="&amp;A49)+SUMIFS($H$4:H49,$B$4:B49,B49,$C$4:C49,C49,$A$4:A49,"&lt;="&amp;A49)-SUMIFS($F$4:F49,$B$4:B49,B49,$C$4:C49,C49,$A$4:A49,"&lt;="&amp;A49))/SUMIFS($F$4:F49,$B$4:B49,B49,$C$4:C49,C49,$A$4:A49,"&lt;="&amp;A49),0)</f>
        <v>0</v>
      </c>
      <c r="N49" s="8"/>
    </row>
    <row r="50" spans="1:14">
      <c r="A50" s="13">
        <v>46388</v>
      </c>
      <c r="B50" t="s">
        <v>29</v>
      </c>
      <c r="C50" t="s">
        <v>19</v>
      </c>
      <c r="D50" t="s">
        <v>30</v>
      </c>
      <c r="E50" s="7"/>
      <c r="F50" s="7"/>
      <c r="G50" s="7"/>
      <c r="H50" s="7"/>
      <c r="I50" s="7"/>
      <c r="J50" s="4">
        <f>IFERROR(I50-E50-F50+G50+H50,0)</f>
        <v>0</v>
      </c>
      <c r="K50" s="6">
        <f>IFERROR(J50/(E50+F50),0)</f>
        <v>0</v>
      </c>
      <c r="L50" s="6">
        <f>IFERROR(K50-SUMIFS($K$4:K50,$B$4:B50,B50,$C$4:C50,C50,$A$4:A50,EDATE(A50,-1)),K50)</f>
        <v>0</v>
      </c>
      <c r="M50" s="6">
        <f>IFERROR((I50+SUMIFS($G$4:G50,$B$4:B50,B50,$C$4:C50,C50,$A$4:A50,"&lt;="&amp;A50)+SUMIFS($H$4:H50,$B$4:B50,B50,$C$4:C50,C50,$A$4:A50,"&lt;="&amp;A50)-SUMIFS($F$4:F50,$B$4:B50,B50,$C$4:C50,C50,$A$4:A50,"&lt;="&amp;A50))/SUMIFS($F$4:F50,$B$4:B50,B50,$C$4:C50,C50,$A$4:A50,"&lt;="&amp;A50),0)</f>
        <v>0</v>
      </c>
      <c r="N50" s="8"/>
    </row>
    <row r="51" spans="1:14">
      <c r="A51" s="13">
        <v>46388</v>
      </c>
      <c r="B51" t="s">
        <v>29</v>
      </c>
      <c r="C51" t="s">
        <v>23</v>
      </c>
      <c r="D51" t="s">
        <v>31</v>
      </c>
      <c r="E51" s="7"/>
      <c r="F51" s="7"/>
      <c r="G51" s="7"/>
      <c r="H51" s="7"/>
      <c r="I51" s="7"/>
      <c r="J51" s="4">
        <f>IFERROR(I51-E51-F51+G51+H51,0)</f>
        <v>0</v>
      </c>
      <c r="K51" s="6">
        <f>IFERROR(J51/(E51+F51),0)</f>
        <v>0</v>
      </c>
      <c r="L51" s="6">
        <f>IFERROR(K51-SUMIFS($K$4:K51,$B$4:B51,B51,$C$4:C51,C51,$A$4:A51,EDATE(A51,-1)),K51)</f>
        <v>0</v>
      </c>
      <c r="M51" s="6">
        <f>IFERROR((I51+SUMIFS($G$4:G51,$B$4:B51,B51,$C$4:C51,C51,$A$4:A51,"&lt;="&amp;A51)+SUMIFS($H$4:H51,$B$4:B51,B51,$C$4:C51,C51,$A$4:A51,"&lt;="&amp;A51)-SUMIFS($F$4:F51,$B$4:B51,B51,$C$4:C51,C51,$A$4:A51,"&lt;="&amp;A51))/SUMIFS($F$4:F51,$B$4:B51,B51,$C$4:C51,C51,$A$4:A51,"&lt;="&amp;A51),0)</f>
        <v>0</v>
      </c>
      <c r="N51" s="8"/>
    </row>
    <row r="52" spans="1:14">
      <c r="A52" s="13">
        <v>46388</v>
      </c>
      <c r="B52" t="s">
        <v>32</v>
      </c>
      <c r="C52" t="s">
        <v>19</v>
      </c>
      <c r="D52" t="s">
        <v>33</v>
      </c>
      <c r="E52" s="7"/>
      <c r="F52" s="7"/>
      <c r="G52" s="7"/>
      <c r="H52" s="7"/>
      <c r="I52" s="7"/>
      <c r="J52" s="4">
        <f>IFERROR(I52-E52-F52+G52+H52,0)</f>
        <v>0</v>
      </c>
      <c r="K52" s="6">
        <f>IFERROR(J52/(E52+F52),0)</f>
        <v>0</v>
      </c>
      <c r="L52" s="6">
        <f>IFERROR(K52-SUMIFS($K$4:K52,$B$4:B52,B52,$C$4:C52,C52,$A$4:A52,EDATE(A52,-1)),K52)</f>
        <v>0</v>
      </c>
      <c r="M52" s="6">
        <f>IFERROR((I52+SUMIFS($G$4:G52,$B$4:B52,B52,$C$4:C52,C52,$A$4:A52,"&lt;="&amp;A52)+SUMIFS($H$4:H52,$B$4:B52,B52,$C$4:C52,C52,$A$4:A52,"&lt;="&amp;A52)-SUMIFS($F$4:F52,$B$4:B52,B52,$C$4:C52,C52,$A$4:A52,"&lt;="&amp;A52))/SUMIFS($F$4:F52,$B$4:B52,B52,$C$4:C52,C52,$A$4:A52,"&lt;="&amp;A52),0)</f>
        <v>0</v>
      </c>
      <c r="N52" s="8"/>
    </row>
    <row r="53" spans="1:14">
      <c r="A53" s="13">
        <v>46388</v>
      </c>
      <c r="B53" t="s">
        <v>32</v>
      </c>
      <c r="C53" t="s">
        <v>23</v>
      </c>
      <c r="D53" t="s">
        <v>34</v>
      </c>
      <c r="E53" s="7"/>
      <c r="F53" s="7"/>
      <c r="G53" s="7"/>
      <c r="H53" s="7"/>
      <c r="I53" s="7"/>
      <c r="J53" s="4">
        <f>IFERROR(I53-E53-F53+G53+H53,0)</f>
        <v>0</v>
      </c>
      <c r="K53" s="6">
        <f>IFERROR(J53/(E53+F53),0)</f>
        <v>0</v>
      </c>
      <c r="L53" s="6">
        <f>IFERROR(K53-SUMIFS($K$4:K53,$B$4:B53,B53,$C$4:C53,C53,$A$4:A53,EDATE(A53,-1)),K53)</f>
        <v>0</v>
      </c>
      <c r="M53" s="6">
        <f>IFERROR((I53+SUMIFS($G$4:G53,$B$4:B53,B53,$C$4:C53,C53,$A$4:A53,"&lt;="&amp;A53)+SUMIFS($H$4:H53,$B$4:B53,B53,$C$4:C53,C53,$A$4:A53,"&lt;="&amp;A53)-SUMIFS($F$4:F53,$B$4:B53,B53,$C$4:C53,C53,$A$4:A53,"&lt;="&amp;A53))/SUMIFS($F$4:F53,$B$4:B53,B53,$C$4:C53,C53,$A$4:A53,"&lt;="&amp;A53),0)</f>
        <v>0</v>
      </c>
      <c r="N53" s="8"/>
    </row>
    <row r="54" spans="1:14">
      <c r="A54" s="13">
        <v>46388</v>
      </c>
      <c r="B54" t="s">
        <v>35</v>
      </c>
      <c r="C54" t="s">
        <v>19</v>
      </c>
      <c r="D54" t="s">
        <v>36</v>
      </c>
      <c r="E54" s="7"/>
      <c r="F54" s="7"/>
      <c r="G54" s="7"/>
      <c r="H54" s="7"/>
      <c r="I54" s="7"/>
      <c r="J54" s="4">
        <f>IFERROR(I54-E54-F54+G54+H54,0)</f>
        <v>0</v>
      </c>
      <c r="K54" s="6">
        <f>IFERROR(J54/(E54+F54),0)</f>
        <v>0</v>
      </c>
      <c r="L54" s="6">
        <f>IFERROR(K54-SUMIFS($K$4:K54,$B$4:B54,B54,$C$4:C54,C54,$A$4:A54,EDATE(A54,-1)),K54)</f>
        <v>0</v>
      </c>
      <c r="M54" s="6">
        <f>IFERROR((I54+SUMIFS($G$4:G54,$B$4:B54,B54,$C$4:C54,C54,$A$4:A54,"&lt;="&amp;A54)+SUMIFS($H$4:H54,$B$4:B54,B54,$C$4:C54,C54,$A$4:A54,"&lt;="&amp;A54)-SUMIFS($F$4:F54,$B$4:B54,B54,$C$4:C54,C54,$A$4:A54,"&lt;="&amp;A54))/SUMIFS($F$4:F54,$B$4:B54,B54,$C$4:C54,C54,$A$4:A54,"&lt;="&amp;A54),0)</f>
        <v>0</v>
      </c>
      <c r="N54" s="8"/>
    </row>
    <row r="55" spans="1:14">
      <c r="A55" s="13">
        <v>46388</v>
      </c>
      <c r="B55" t="s">
        <v>35</v>
      </c>
      <c r="C55" t="s">
        <v>23</v>
      </c>
      <c r="D55" t="s">
        <v>37</v>
      </c>
      <c r="E55" s="7"/>
      <c r="F55" s="7"/>
      <c r="G55" s="7"/>
      <c r="H55" s="7"/>
      <c r="I55" s="7"/>
      <c r="J55" s="4">
        <f>IFERROR(I55-E55-F55+G55+H55,0)</f>
        <v>0</v>
      </c>
      <c r="K55" s="6">
        <f>IFERROR(J55/(E55+F55),0)</f>
        <v>0</v>
      </c>
      <c r="L55" s="6">
        <f>IFERROR(K55-SUMIFS($K$4:K55,$B$4:B55,B55,$C$4:C55,C55,$A$4:A55,EDATE(A55,-1)),K55)</f>
        <v>0</v>
      </c>
      <c r="M55" s="6">
        <f>IFERROR((I55+SUMIFS($G$4:G55,$B$4:B55,B55,$C$4:C55,C55,$A$4:A55,"&lt;="&amp;A55)+SUMIFS($H$4:H55,$B$4:B55,B55,$C$4:C55,C55,$A$4:A55,"&lt;="&amp;A55)-SUMIFS($F$4:F55,$B$4:B55,B55,$C$4:C55,C55,$A$4:A55,"&lt;="&amp;A55))/SUMIFS($F$4:F55,$B$4:B55,B55,$C$4:C55,C55,$A$4:A55,"&lt;="&amp;A55),0)</f>
        <v>0</v>
      </c>
      <c r="N55" s="8"/>
    </row>
    <row r="56" spans="1:14">
      <c r="A56" s="13">
        <v>46388</v>
      </c>
      <c r="B56" t="s">
        <v>38</v>
      </c>
      <c r="C56" t="s">
        <v>19</v>
      </c>
      <c r="D56" t="s">
        <v>39</v>
      </c>
      <c r="E56" s="7"/>
      <c r="F56" s="7"/>
      <c r="G56" s="7"/>
      <c r="H56" s="7"/>
      <c r="I56" s="7"/>
      <c r="J56" s="4">
        <f>IFERROR(I56-E56-F56+G56+H56,0)</f>
        <v>0</v>
      </c>
      <c r="K56" s="6">
        <f>IFERROR(J56/(E56+F56),0)</f>
        <v>0</v>
      </c>
      <c r="L56" s="6">
        <f>IFERROR(K56-SUMIFS($K$4:K56,$B$4:B56,B56,$C$4:C56,C56,$A$4:A56,EDATE(A56,-1)),K56)</f>
        <v>0</v>
      </c>
      <c r="M56" s="6">
        <f>IFERROR((I56+SUMIFS($G$4:G56,$B$4:B56,B56,$C$4:C56,C56,$A$4:A56,"&lt;="&amp;A56)+SUMIFS($H$4:H56,$B$4:B56,B56,$C$4:C56,C56,$A$4:A56,"&lt;="&amp;A56)-SUMIFS($F$4:F56,$B$4:B56,B56,$C$4:C56,C56,$A$4:A56,"&lt;="&amp;A56))/SUMIFS($F$4:F56,$B$4:B56,B56,$C$4:C56,C56,$A$4:A56,"&lt;="&amp;A56),0)</f>
        <v>0</v>
      </c>
      <c r="N56" s="8"/>
    </row>
    <row r="57" spans="1:14">
      <c r="A57" s="13">
        <v>46388</v>
      </c>
      <c r="B57" t="s">
        <v>38</v>
      </c>
      <c r="C57" t="s">
        <v>23</v>
      </c>
      <c r="D57" t="s">
        <v>40</v>
      </c>
      <c r="E57" s="7"/>
      <c r="F57" s="7"/>
      <c r="G57" s="7"/>
      <c r="H57" s="7"/>
      <c r="I57" s="7"/>
      <c r="J57" s="4">
        <f>IFERROR(I57-E57-F57+G57+H57,0)</f>
        <v>0</v>
      </c>
      <c r="K57" s="6">
        <f>IFERROR(J57/(E57+F57),0)</f>
        <v>0</v>
      </c>
      <c r="L57" s="6">
        <f>IFERROR(K57-SUMIFS($K$4:K57,$B$4:B57,B57,$C$4:C57,C57,$A$4:A57,EDATE(A57,-1)),K57)</f>
        <v>0</v>
      </c>
      <c r="M57" s="6">
        <f>IFERROR((I57+SUMIFS($G$4:G57,$B$4:B57,B57,$C$4:C57,C57,$A$4:A57,"&lt;="&amp;A57)+SUMIFS($H$4:H57,$B$4:B57,B57,$C$4:C57,C57,$A$4:A57,"&lt;="&amp;A57)-SUMIFS($F$4:F57,$B$4:B57,B57,$C$4:C57,C57,$A$4:A57,"&lt;="&amp;A57))/SUMIFS($F$4:F57,$B$4:B57,B57,$C$4:C57,C57,$A$4:A57,"&lt;="&amp;A57),0)</f>
        <v>0</v>
      </c>
      <c r="N57" s="8"/>
    </row>
    <row r="58" spans="1:14">
      <c r="A58" s="13">
        <v>46388</v>
      </c>
      <c r="B58" t="s">
        <v>41</v>
      </c>
      <c r="C58" t="s">
        <v>19</v>
      </c>
      <c r="D58" t="s">
        <v>42</v>
      </c>
      <c r="E58" s="7"/>
      <c r="F58" s="7"/>
      <c r="G58" s="7"/>
      <c r="H58" s="7"/>
      <c r="I58" s="7"/>
      <c r="J58" s="4">
        <f>IFERROR(I58-E58-F58+G58+H58,0)</f>
        <v>0</v>
      </c>
      <c r="K58" s="6">
        <f>IFERROR(J58/(E58+F58),0)</f>
        <v>0</v>
      </c>
      <c r="L58" s="6">
        <f>IFERROR(K58-SUMIFS($K$4:K58,$B$4:B58,B58,$C$4:C58,C58,$A$4:A58,EDATE(A58,-1)),K58)</f>
        <v>0</v>
      </c>
      <c r="M58" s="6">
        <f>IFERROR((I58+SUMIFS($G$4:G58,$B$4:B58,B58,$C$4:C58,C58,$A$4:A58,"&lt;="&amp;A58)+SUMIFS($H$4:H58,$B$4:B58,B58,$C$4:C58,C58,$A$4:A58,"&lt;="&amp;A58)-SUMIFS($F$4:F58,$B$4:B58,B58,$C$4:C58,C58,$A$4:A58,"&lt;="&amp;A58))/SUMIFS($F$4:F58,$B$4:B58,B58,$C$4:C58,C58,$A$4:A58,"&lt;="&amp;A58),0)</f>
        <v>0</v>
      </c>
      <c r="N58" s="8"/>
    </row>
    <row r="59" spans="1:14">
      <c r="A59" s="13">
        <v>46388</v>
      </c>
      <c r="B59" t="s">
        <v>41</v>
      </c>
      <c r="C59" t="s">
        <v>23</v>
      </c>
      <c r="D59" t="s">
        <v>43</v>
      </c>
      <c r="E59" s="7"/>
      <c r="F59" s="7"/>
      <c r="G59" s="7"/>
      <c r="H59" s="7"/>
      <c r="I59" s="7"/>
      <c r="J59" s="4">
        <f>IFERROR(I59-E59-F59+G59+H59,0)</f>
        <v>0</v>
      </c>
      <c r="K59" s="6">
        <f>IFERROR(J59/(E59+F59),0)</f>
        <v>0</v>
      </c>
      <c r="L59" s="6">
        <f>IFERROR(K59-SUMIFS($K$4:K59,$B$4:B59,B59,$C$4:C59,C59,$A$4:A59,EDATE(A59,-1)),K59)</f>
        <v>0</v>
      </c>
      <c r="M59" s="6">
        <f>IFERROR((I59+SUMIFS($G$4:G59,$B$4:B59,B59,$C$4:C59,C59,$A$4:A59,"&lt;="&amp;A59)+SUMIFS($H$4:H59,$B$4:B59,B59,$C$4:C59,C59,$A$4:A59,"&lt;="&amp;A59)-SUMIFS($F$4:F59,$B$4:B59,B59,$C$4:C59,C59,$A$4:A59,"&lt;="&amp;A59))/SUMIFS($F$4:F59,$B$4:B59,B59,$C$4:C59,C59,$A$4:A59,"&lt;="&amp;A59),0)</f>
        <v>0</v>
      </c>
      <c r="N59" s="8"/>
    </row>
    <row r="60" spans="1:14">
      <c r="A60" s="13">
        <v>46419</v>
      </c>
      <c r="B60" t="s">
        <v>18</v>
      </c>
      <c r="C60" t="s">
        <v>19</v>
      </c>
      <c r="D60" t="s">
        <v>21</v>
      </c>
      <c r="E60" s="7"/>
      <c r="F60" s="7"/>
      <c r="G60" s="7"/>
      <c r="H60" s="7"/>
      <c r="I60" s="7"/>
      <c r="J60" s="4">
        <f>IFERROR(I60-E60-F60+G60+H60,0)</f>
        <v>0</v>
      </c>
      <c r="K60" s="6">
        <f>IFERROR(J60/(E60+F60),0)</f>
        <v>0</v>
      </c>
      <c r="L60" s="6">
        <f>IFERROR(K60-SUMIFS($K$4:K60,$B$4:B60,B60,$C$4:C60,C60,$A$4:A60,EDATE(A60,-1)),K60)</f>
        <v>0</v>
      </c>
      <c r="M60" s="6">
        <f>IFERROR((I60+SUMIFS($G$4:G60,$B$4:B60,B60,$C$4:C60,C60,$A$4:A60,"&lt;="&amp;A60)+SUMIFS($H$4:H60,$B$4:B60,B60,$C$4:C60,C60,$A$4:A60,"&lt;="&amp;A60)-SUMIFS($F$4:F60,$B$4:B60,B60,$C$4:C60,C60,$A$4:A60,"&lt;="&amp;A60))/SUMIFS($F$4:F60,$B$4:B60,B60,$C$4:C60,C60,$A$4:A60,"&lt;="&amp;A60),0)</f>
        <v>0</v>
      </c>
      <c r="N60" s="8"/>
    </row>
    <row r="61" spans="1:14">
      <c r="A61" s="13">
        <v>46419</v>
      </c>
      <c r="B61" t="s">
        <v>18</v>
      </c>
      <c r="C61" t="s">
        <v>23</v>
      </c>
      <c r="D61" t="s">
        <v>24</v>
      </c>
      <c r="E61" s="7"/>
      <c r="F61" s="7"/>
      <c r="G61" s="7"/>
      <c r="H61" s="7"/>
      <c r="I61" s="7"/>
      <c r="J61" s="4">
        <f>IFERROR(I61-E61-F61+G61+H61,0)</f>
        <v>0</v>
      </c>
      <c r="K61" s="6">
        <f>IFERROR(J61/(E61+F61),0)</f>
        <v>0</v>
      </c>
      <c r="L61" s="6">
        <f>IFERROR(K61-SUMIFS($K$4:K61,$B$4:B61,B61,$C$4:C61,C61,$A$4:A61,EDATE(A61,-1)),K61)</f>
        <v>0</v>
      </c>
      <c r="M61" s="6">
        <f>IFERROR((I61+SUMIFS($G$4:G61,$B$4:B61,B61,$C$4:C61,C61,$A$4:A61,"&lt;="&amp;A61)+SUMIFS($H$4:H61,$B$4:B61,B61,$C$4:C61,C61,$A$4:A61,"&lt;="&amp;A61)-SUMIFS($F$4:F61,$B$4:B61,B61,$C$4:C61,C61,$A$4:A61,"&lt;="&amp;A61))/SUMIFS($F$4:F61,$B$4:B61,B61,$C$4:C61,C61,$A$4:A61,"&lt;="&amp;A61),0)</f>
        <v>0</v>
      </c>
      <c r="N61" s="8"/>
    </row>
    <row r="62" spans="1:14">
      <c r="A62" s="13">
        <v>46419</v>
      </c>
      <c r="B62" t="s">
        <v>26</v>
      </c>
      <c r="C62" t="s">
        <v>19</v>
      </c>
      <c r="D62" t="s">
        <v>27</v>
      </c>
      <c r="E62" s="7"/>
      <c r="F62" s="7"/>
      <c r="G62" s="7"/>
      <c r="H62" s="7"/>
      <c r="I62" s="7"/>
      <c r="J62" s="4">
        <f>IFERROR(I62-E62-F62+G62+H62,0)</f>
        <v>0</v>
      </c>
      <c r="K62" s="6">
        <f>IFERROR(J62/(E62+F62),0)</f>
        <v>0</v>
      </c>
      <c r="L62" s="6">
        <f>IFERROR(K62-SUMIFS($K$4:K62,$B$4:B62,B62,$C$4:C62,C62,$A$4:A62,EDATE(A62,-1)),K62)</f>
        <v>0</v>
      </c>
      <c r="M62" s="6">
        <f>IFERROR((I62+SUMIFS($G$4:G62,$B$4:B62,B62,$C$4:C62,C62,$A$4:A62,"&lt;="&amp;A62)+SUMIFS($H$4:H62,$B$4:B62,B62,$C$4:C62,C62,$A$4:A62,"&lt;="&amp;A62)-SUMIFS($F$4:F62,$B$4:B62,B62,$C$4:C62,C62,$A$4:A62,"&lt;="&amp;A62))/SUMIFS($F$4:F62,$B$4:B62,B62,$C$4:C62,C62,$A$4:A62,"&lt;="&amp;A62),0)</f>
        <v>0</v>
      </c>
      <c r="N62" s="8"/>
    </row>
    <row r="63" spans="1:14">
      <c r="A63" s="13">
        <v>46419</v>
      </c>
      <c r="B63" t="s">
        <v>26</v>
      </c>
      <c r="C63" t="s">
        <v>23</v>
      </c>
      <c r="D63" t="s">
        <v>28</v>
      </c>
      <c r="E63" s="7"/>
      <c r="F63" s="7"/>
      <c r="G63" s="7"/>
      <c r="H63" s="7"/>
      <c r="I63" s="7"/>
      <c r="J63" s="4">
        <f>IFERROR(I63-E63-F63+G63+H63,0)</f>
        <v>0</v>
      </c>
      <c r="K63" s="6">
        <f>IFERROR(J63/(E63+F63),0)</f>
        <v>0</v>
      </c>
      <c r="L63" s="6">
        <f>IFERROR(K63-SUMIFS($K$4:K63,$B$4:B63,B63,$C$4:C63,C63,$A$4:A63,EDATE(A63,-1)),K63)</f>
        <v>0</v>
      </c>
      <c r="M63" s="6">
        <f>IFERROR((I63+SUMIFS($G$4:G63,$B$4:B63,B63,$C$4:C63,C63,$A$4:A63,"&lt;="&amp;A63)+SUMIFS($H$4:H63,$B$4:B63,B63,$C$4:C63,C63,$A$4:A63,"&lt;="&amp;A63)-SUMIFS($F$4:F63,$B$4:B63,B63,$C$4:C63,C63,$A$4:A63,"&lt;="&amp;A63))/SUMIFS($F$4:F63,$B$4:B63,B63,$C$4:C63,C63,$A$4:A63,"&lt;="&amp;A63),0)</f>
        <v>0</v>
      </c>
      <c r="N63" s="8"/>
    </row>
    <row r="64" spans="1:14">
      <c r="A64" s="13">
        <v>46419</v>
      </c>
      <c r="B64" t="s">
        <v>29</v>
      </c>
      <c r="C64" t="s">
        <v>19</v>
      </c>
      <c r="D64" t="s">
        <v>30</v>
      </c>
      <c r="E64" s="7"/>
      <c r="F64" s="7"/>
      <c r="G64" s="7"/>
      <c r="H64" s="7"/>
      <c r="I64" s="7"/>
      <c r="J64" s="4">
        <f>IFERROR(I64-E64-F64+G64+H64,0)</f>
        <v>0</v>
      </c>
      <c r="K64" s="6">
        <f>IFERROR(J64/(E64+F64),0)</f>
        <v>0</v>
      </c>
      <c r="L64" s="6">
        <f>IFERROR(K64-SUMIFS($K$4:K64,$B$4:B64,B64,$C$4:C64,C64,$A$4:A64,EDATE(A64,-1)),K64)</f>
        <v>0</v>
      </c>
      <c r="M64" s="6">
        <f>IFERROR((I64+SUMIFS($G$4:G64,$B$4:B64,B64,$C$4:C64,C64,$A$4:A64,"&lt;="&amp;A64)+SUMIFS($H$4:H64,$B$4:B64,B64,$C$4:C64,C64,$A$4:A64,"&lt;="&amp;A64)-SUMIFS($F$4:F64,$B$4:B64,B64,$C$4:C64,C64,$A$4:A64,"&lt;="&amp;A64))/SUMIFS($F$4:F64,$B$4:B64,B64,$C$4:C64,C64,$A$4:A64,"&lt;="&amp;A64),0)</f>
        <v>0</v>
      </c>
      <c r="N64" s="8"/>
    </row>
    <row r="65" spans="1:14">
      <c r="A65" s="13">
        <v>46419</v>
      </c>
      <c r="B65" t="s">
        <v>29</v>
      </c>
      <c r="C65" t="s">
        <v>23</v>
      </c>
      <c r="D65" t="s">
        <v>31</v>
      </c>
      <c r="E65" s="7"/>
      <c r="F65" s="7"/>
      <c r="G65" s="7"/>
      <c r="H65" s="7"/>
      <c r="I65" s="7"/>
      <c r="J65" s="4">
        <f>IFERROR(I65-E65-F65+G65+H65,0)</f>
        <v>0</v>
      </c>
      <c r="K65" s="6">
        <f>IFERROR(J65/(E65+F65),0)</f>
        <v>0</v>
      </c>
      <c r="L65" s="6">
        <f>IFERROR(K65-SUMIFS($K$4:K65,$B$4:B65,B65,$C$4:C65,C65,$A$4:A65,EDATE(A65,-1)),K65)</f>
        <v>0</v>
      </c>
      <c r="M65" s="6">
        <f>IFERROR((I65+SUMIFS($G$4:G65,$B$4:B65,B65,$C$4:C65,C65,$A$4:A65,"&lt;="&amp;A65)+SUMIFS($H$4:H65,$B$4:B65,B65,$C$4:C65,C65,$A$4:A65,"&lt;="&amp;A65)-SUMIFS($F$4:F65,$B$4:B65,B65,$C$4:C65,C65,$A$4:A65,"&lt;="&amp;A65))/SUMIFS($F$4:F65,$B$4:B65,B65,$C$4:C65,C65,$A$4:A65,"&lt;="&amp;A65),0)</f>
        <v>0</v>
      </c>
      <c r="N65" s="8"/>
    </row>
    <row r="66" spans="1:14">
      <c r="A66" s="13">
        <v>46419</v>
      </c>
      <c r="B66" t="s">
        <v>32</v>
      </c>
      <c r="C66" t="s">
        <v>19</v>
      </c>
      <c r="D66" t="s">
        <v>33</v>
      </c>
      <c r="E66" s="7"/>
      <c r="F66" s="7"/>
      <c r="G66" s="7"/>
      <c r="H66" s="7"/>
      <c r="I66" s="7"/>
      <c r="J66" s="4">
        <f>IFERROR(I66-E66-F66+G66+H66,0)</f>
        <v>0</v>
      </c>
      <c r="K66" s="6">
        <f>IFERROR(J66/(E66+F66),0)</f>
        <v>0</v>
      </c>
      <c r="L66" s="6">
        <f>IFERROR(K66-SUMIFS($K$4:K66,$B$4:B66,B66,$C$4:C66,C66,$A$4:A66,EDATE(A66,-1)),K66)</f>
        <v>0</v>
      </c>
      <c r="M66" s="6">
        <f>IFERROR((I66+SUMIFS($G$4:G66,$B$4:B66,B66,$C$4:C66,C66,$A$4:A66,"&lt;="&amp;A66)+SUMIFS($H$4:H66,$B$4:B66,B66,$C$4:C66,C66,$A$4:A66,"&lt;="&amp;A66)-SUMIFS($F$4:F66,$B$4:B66,B66,$C$4:C66,C66,$A$4:A66,"&lt;="&amp;A66))/SUMIFS($F$4:F66,$B$4:B66,B66,$C$4:C66,C66,$A$4:A66,"&lt;="&amp;A66),0)</f>
        <v>0</v>
      </c>
      <c r="N66" s="8"/>
    </row>
    <row r="67" spans="1:14">
      <c r="A67" s="13">
        <v>46419</v>
      </c>
      <c r="B67" t="s">
        <v>32</v>
      </c>
      <c r="C67" t="s">
        <v>23</v>
      </c>
      <c r="D67" t="s">
        <v>34</v>
      </c>
      <c r="E67" s="7"/>
      <c r="F67" s="7"/>
      <c r="G67" s="7"/>
      <c r="H67" s="7"/>
      <c r="I67" s="7"/>
      <c r="J67" s="4">
        <f>IFERROR(I67-E67-F67+G67+H67,0)</f>
        <v>0</v>
      </c>
      <c r="K67" s="6">
        <f>IFERROR(J67/(E67+F67),0)</f>
        <v>0</v>
      </c>
      <c r="L67" s="6">
        <f>IFERROR(K67-SUMIFS($K$4:K67,$B$4:B67,B67,$C$4:C67,C67,$A$4:A67,EDATE(A67,-1)),K67)</f>
        <v>0</v>
      </c>
      <c r="M67" s="6">
        <f>IFERROR((I67+SUMIFS($G$4:G67,$B$4:B67,B67,$C$4:C67,C67,$A$4:A67,"&lt;="&amp;A67)+SUMIFS($H$4:H67,$B$4:B67,B67,$C$4:C67,C67,$A$4:A67,"&lt;="&amp;A67)-SUMIFS($F$4:F67,$B$4:B67,B67,$C$4:C67,C67,$A$4:A67,"&lt;="&amp;A67))/SUMIFS($F$4:F67,$B$4:B67,B67,$C$4:C67,C67,$A$4:A67,"&lt;="&amp;A67),0)</f>
        <v>0</v>
      </c>
      <c r="N67" s="8"/>
    </row>
    <row r="68" spans="1:14">
      <c r="A68" s="13">
        <v>46419</v>
      </c>
      <c r="B68" t="s">
        <v>35</v>
      </c>
      <c r="C68" t="s">
        <v>19</v>
      </c>
      <c r="D68" t="s">
        <v>36</v>
      </c>
      <c r="E68" s="7"/>
      <c r="F68" s="7"/>
      <c r="G68" s="7"/>
      <c r="H68" s="7"/>
      <c r="I68" s="7"/>
      <c r="J68" s="4">
        <f>IFERROR(I68-E68-F68+G68+H68,0)</f>
        <v>0</v>
      </c>
      <c r="K68" s="6">
        <f>IFERROR(J68/(E68+F68),0)</f>
        <v>0</v>
      </c>
      <c r="L68" s="6">
        <f>IFERROR(K68-SUMIFS($K$4:K68,$B$4:B68,B68,$C$4:C68,C68,$A$4:A68,EDATE(A68,-1)),K68)</f>
        <v>0</v>
      </c>
      <c r="M68" s="6">
        <f>IFERROR((I68+SUMIFS($G$4:G68,$B$4:B68,B68,$C$4:C68,C68,$A$4:A68,"&lt;="&amp;A68)+SUMIFS($H$4:H68,$B$4:B68,B68,$C$4:C68,C68,$A$4:A68,"&lt;="&amp;A68)-SUMIFS($F$4:F68,$B$4:B68,B68,$C$4:C68,C68,$A$4:A68,"&lt;="&amp;A68))/SUMIFS($F$4:F68,$B$4:B68,B68,$C$4:C68,C68,$A$4:A68,"&lt;="&amp;A68),0)</f>
        <v>0</v>
      </c>
      <c r="N68" s="8"/>
    </row>
    <row r="69" spans="1:14">
      <c r="A69" s="13">
        <v>46419</v>
      </c>
      <c r="B69" t="s">
        <v>35</v>
      </c>
      <c r="C69" t="s">
        <v>23</v>
      </c>
      <c r="D69" t="s">
        <v>37</v>
      </c>
      <c r="E69" s="7"/>
      <c r="F69" s="7"/>
      <c r="G69" s="7"/>
      <c r="H69" s="7"/>
      <c r="I69" s="7"/>
      <c r="J69" s="4">
        <f>IFERROR(I69-E69-F69+G69+H69,0)</f>
        <v>0</v>
      </c>
      <c r="K69" s="6">
        <f>IFERROR(J69/(E69+F69),0)</f>
        <v>0</v>
      </c>
      <c r="L69" s="6">
        <f>IFERROR(K69-SUMIFS($K$4:K69,$B$4:B69,B69,$C$4:C69,C69,$A$4:A69,EDATE(A69,-1)),K69)</f>
        <v>0</v>
      </c>
      <c r="M69" s="6">
        <f>IFERROR((I69+SUMIFS($G$4:G69,$B$4:B69,B69,$C$4:C69,C69,$A$4:A69,"&lt;="&amp;A69)+SUMIFS($H$4:H69,$B$4:B69,B69,$C$4:C69,C69,$A$4:A69,"&lt;="&amp;A69)-SUMIFS($F$4:F69,$B$4:B69,B69,$C$4:C69,C69,$A$4:A69,"&lt;="&amp;A69))/SUMIFS($F$4:F69,$B$4:B69,B69,$C$4:C69,C69,$A$4:A69,"&lt;="&amp;A69),0)</f>
        <v>0</v>
      </c>
      <c r="N69" s="8"/>
    </row>
    <row r="70" spans="1:14">
      <c r="A70" s="13">
        <v>46419</v>
      </c>
      <c r="B70" t="s">
        <v>38</v>
      </c>
      <c r="C70" t="s">
        <v>19</v>
      </c>
      <c r="D70" t="s">
        <v>39</v>
      </c>
      <c r="E70" s="7"/>
      <c r="F70" s="7"/>
      <c r="G70" s="7"/>
      <c r="H70" s="7"/>
      <c r="I70" s="7"/>
      <c r="J70" s="4">
        <f>IFERROR(I70-E70-F70+G70+H70,0)</f>
        <v>0</v>
      </c>
      <c r="K70" s="6">
        <f>IFERROR(J70/(E70+F70),0)</f>
        <v>0</v>
      </c>
      <c r="L70" s="6">
        <f>IFERROR(K70-SUMIFS($K$4:K70,$B$4:B70,B70,$C$4:C70,C70,$A$4:A70,EDATE(A70,-1)),K70)</f>
        <v>0</v>
      </c>
      <c r="M70" s="6">
        <f>IFERROR((I70+SUMIFS($G$4:G70,$B$4:B70,B70,$C$4:C70,C70,$A$4:A70,"&lt;="&amp;A70)+SUMIFS($H$4:H70,$B$4:B70,B70,$C$4:C70,C70,$A$4:A70,"&lt;="&amp;A70)-SUMIFS($F$4:F70,$B$4:B70,B70,$C$4:C70,C70,$A$4:A70,"&lt;="&amp;A70))/SUMIFS($F$4:F70,$B$4:B70,B70,$C$4:C70,C70,$A$4:A70,"&lt;="&amp;A70),0)</f>
        <v>0</v>
      </c>
      <c r="N70" s="8"/>
    </row>
    <row r="71" spans="1:14">
      <c r="A71" s="13">
        <v>46419</v>
      </c>
      <c r="B71" t="s">
        <v>38</v>
      </c>
      <c r="C71" t="s">
        <v>23</v>
      </c>
      <c r="D71" t="s">
        <v>40</v>
      </c>
      <c r="E71" s="7"/>
      <c r="F71" s="7"/>
      <c r="G71" s="7"/>
      <c r="H71" s="7"/>
      <c r="I71" s="7"/>
      <c r="J71" s="4">
        <f>IFERROR(I71-E71-F71+G71+H71,0)</f>
        <v>0</v>
      </c>
      <c r="K71" s="6">
        <f>IFERROR(J71/(E71+F71),0)</f>
        <v>0</v>
      </c>
      <c r="L71" s="6">
        <f>IFERROR(K71-SUMIFS($K$4:K71,$B$4:B71,B71,$C$4:C71,C71,$A$4:A71,EDATE(A71,-1)),K71)</f>
        <v>0</v>
      </c>
      <c r="M71" s="6">
        <f>IFERROR((I71+SUMIFS($G$4:G71,$B$4:B71,B71,$C$4:C71,C71,$A$4:A71,"&lt;="&amp;A71)+SUMIFS($H$4:H71,$B$4:B71,B71,$C$4:C71,C71,$A$4:A71,"&lt;="&amp;A71)-SUMIFS($F$4:F71,$B$4:B71,B71,$C$4:C71,C71,$A$4:A71,"&lt;="&amp;A71))/SUMIFS($F$4:F71,$B$4:B71,B71,$C$4:C71,C71,$A$4:A71,"&lt;="&amp;A71),0)</f>
        <v>0</v>
      </c>
      <c r="N71" s="8"/>
    </row>
    <row r="72" spans="1:14">
      <c r="A72" s="13">
        <v>46419</v>
      </c>
      <c r="B72" t="s">
        <v>41</v>
      </c>
      <c r="C72" t="s">
        <v>19</v>
      </c>
      <c r="D72" t="s">
        <v>42</v>
      </c>
      <c r="E72" s="7"/>
      <c r="F72" s="7"/>
      <c r="G72" s="7"/>
      <c r="H72" s="7"/>
      <c r="I72" s="7"/>
      <c r="J72" s="4">
        <f>IFERROR(I72-E72-F72+G72+H72,0)</f>
        <v>0</v>
      </c>
      <c r="K72" s="6">
        <f>IFERROR(J72/(E72+F72),0)</f>
        <v>0</v>
      </c>
      <c r="L72" s="6">
        <f>IFERROR(K72-SUMIFS($K$4:K72,$B$4:B72,B72,$C$4:C72,C72,$A$4:A72,EDATE(A72,-1)),K72)</f>
        <v>0</v>
      </c>
      <c r="M72" s="6">
        <f>IFERROR((I72+SUMIFS($G$4:G72,$B$4:B72,B72,$C$4:C72,C72,$A$4:A72,"&lt;="&amp;A72)+SUMIFS($H$4:H72,$B$4:B72,B72,$C$4:C72,C72,$A$4:A72,"&lt;="&amp;A72)-SUMIFS($F$4:F72,$B$4:B72,B72,$C$4:C72,C72,$A$4:A72,"&lt;="&amp;A72))/SUMIFS($F$4:F72,$B$4:B72,B72,$C$4:C72,C72,$A$4:A72,"&lt;="&amp;A72),0)</f>
        <v>0</v>
      </c>
      <c r="N72" s="8"/>
    </row>
    <row r="73" spans="1:14">
      <c r="A73" s="13">
        <v>46419</v>
      </c>
      <c r="B73" t="s">
        <v>41</v>
      </c>
      <c r="C73" t="s">
        <v>23</v>
      </c>
      <c r="D73" t="s">
        <v>43</v>
      </c>
      <c r="E73" s="7"/>
      <c r="F73" s="7"/>
      <c r="G73" s="7"/>
      <c r="H73" s="7"/>
      <c r="I73" s="7"/>
      <c r="J73" s="4">
        <f>IFERROR(I73-E73-F73+G73+H73,0)</f>
        <v>0</v>
      </c>
      <c r="K73" s="6">
        <f>IFERROR(J73/(E73+F73),0)</f>
        <v>0</v>
      </c>
      <c r="L73" s="6">
        <f>IFERROR(K73-SUMIFS($K$4:K73,$B$4:B73,B73,$C$4:C73,C73,$A$4:A73,EDATE(A73,-1)),K73)</f>
        <v>0</v>
      </c>
      <c r="M73" s="6">
        <f>IFERROR((I73+SUMIFS($G$4:G73,$B$4:B73,B73,$C$4:C73,C73,$A$4:A73,"&lt;="&amp;A73)+SUMIFS($H$4:H73,$B$4:B73,B73,$C$4:C73,C73,$A$4:A73,"&lt;="&amp;A73)-SUMIFS($F$4:F73,$B$4:B73,B73,$C$4:C73,C73,$A$4:A73,"&lt;="&amp;A73))/SUMIFS($F$4:F73,$B$4:B73,B73,$C$4:C73,C73,$A$4:A73,"&lt;="&amp;A73),0)</f>
        <v>0</v>
      </c>
      <c r="N73" s="8"/>
    </row>
    <row r="74" spans="1:14">
      <c r="A74" s="13">
        <v>46447</v>
      </c>
      <c r="B74" t="s">
        <v>18</v>
      </c>
      <c r="C74" t="s">
        <v>19</v>
      </c>
      <c r="D74" t="s">
        <v>21</v>
      </c>
      <c r="E74" s="7"/>
      <c r="F74" s="7"/>
      <c r="G74" s="7"/>
      <c r="H74" s="7"/>
      <c r="I74" s="7"/>
      <c r="J74" s="4">
        <f>IFERROR(I74-E74-F74+G74+H74,0)</f>
        <v>0</v>
      </c>
      <c r="K74" s="6">
        <f>IFERROR(J74/(E74+F74),0)</f>
        <v>0</v>
      </c>
      <c r="L74" s="6">
        <f>IFERROR(K74-SUMIFS($K$4:K74,$B$4:B74,B74,$C$4:C74,C74,$A$4:A74,EDATE(A74,-1)),K74)</f>
        <v>0</v>
      </c>
      <c r="M74" s="6">
        <f>IFERROR((I74+SUMIFS($G$4:G74,$B$4:B74,B74,$C$4:C74,C74,$A$4:A74,"&lt;="&amp;A74)+SUMIFS($H$4:H74,$B$4:B74,B74,$C$4:C74,C74,$A$4:A74,"&lt;="&amp;A74)-SUMIFS($F$4:F74,$B$4:B74,B74,$C$4:C74,C74,$A$4:A74,"&lt;="&amp;A74))/SUMIFS($F$4:F74,$B$4:B74,B74,$C$4:C74,C74,$A$4:A74,"&lt;="&amp;A74),0)</f>
        <v>0</v>
      </c>
      <c r="N74" s="8"/>
    </row>
    <row r="75" spans="1:14">
      <c r="A75" s="13">
        <v>46447</v>
      </c>
      <c r="B75" t="s">
        <v>18</v>
      </c>
      <c r="C75" t="s">
        <v>23</v>
      </c>
      <c r="D75" t="s">
        <v>24</v>
      </c>
      <c r="E75" s="7"/>
      <c r="F75" s="7"/>
      <c r="G75" s="7"/>
      <c r="H75" s="7"/>
      <c r="I75" s="7"/>
      <c r="J75" s="4">
        <f>IFERROR(I75-E75-F75+G75+H75,0)</f>
        <v>0</v>
      </c>
      <c r="K75" s="6">
        <f>IFERROR(J75/(E75+F75),0)</f>
        <v>0</v>
      </c>
      <c r="L75" s="6">
        <f>IFERROR(K75-SUMIFS($K$4:K75,$B$4:B75,B75,$C$4:C75,C75,$A$4:A75,EDATE(A75,-1)),K75)</f>
        <v>0</v>
      </c>
      <c r="M75" s="6">
        <f>IFERROR((I75+SUMIFS($G$4:G75,$B$4:B75,B75,$C$4:C75,C75,$A$4:A75,"&lt;="&amp;A75)+SUMIFS($H$4:H75,$B$4:B75,B75,$C$4:C75,C75,$A$4:A75,"&lt;="&amp;A75)-SUMIFS($F$4:F75,$B$4:B75,B75,$C$4:C75,C75,$A$4:A75,"&lt;="&amp;A75))/SUMIFS($F$4:F75,$B$4:B75,B75,$C$4:C75,C75,$A$4:A75,"&lt;="&amp;A75),0)</f>
        <v>0</v>
      </c>
      <c r="N75" s="8"/>
    </row>
    <row r="76" spans="1:14">
      <c r="A76" s="13">
        <v>46447</v>
      </c>
      <c r="B76" t="s">
        <v>26</v>
      </c>
      <c r="C76" t="s">
        <v>19</v>
      </c>
      <c r="D76" t="s">
        <v>27</v>
      </c>
      <c r="E76" s="7"/>
      <c r="F76" s="7"/>
      <c r="G76" s="7"/>
      <c r="H76" s="7"/>
      <c r="I76" s="7"/>
      <c r="J76" s="4">
        <f>IFERROR(I76-E76-F76+G76+H76,0)</f>
        <v>0</v>
      </c>
      <c r="K76" s="6">
        <f>IFERROR(J76/(E76+F76),0)</f>
        <v>0</v>
      </c>
      <c r="L76" s="6">
        <f>IFERROR(K76-SUMIFS($K$4:K76,$B$4:B76,B76,$C$4:C76,C76,$A$4:A76,EDATE(A76,-1)),K76)</f>
        <v>0</v>
      </c>
      <c r="M76" s="6">
        <f>IFERROR((I76+SUMIFS($G$4:G76,$B$4:B76,B76,$C$4:C76,C76,$A$4:A76,"&lt;="&amp;A76)+SUMIFS($H$4:H76,$B$4:B76,B76,$C$4:C76,C76,$A$4:A76,"&lt;="&amp;A76)-SUMIFS($F$4:F76,$B$4:B76,B76,$C$4:C76,C76,$A$4:A76,"&lt;="&amp;A76))/SUMIFS($F$4:F76,$B$4:B76,B76,$C$4:C76,C76,$A$4:A76,"&lt;="&amp;A76),0)</f>
        <v>0</v>
      </c>
      <c r="N76" s="8"/>
    </row>
    <row r="77" spans="1:14">
      <c r="A77" s="13">
        <v>46447</v>
      </c>
      <c r="B77" t="s">
        <v>26</v>
      </c>
      <c r="C77" t="s">
        <v>23</v>
      </c>
      <c r="D77" t="s">
        <v>28</v>
      </c>
      <c r="E77" s="7"/>
      <c r="F77" s="7"/>
      <c r="G77" s="7"/>
      <c r="H77" s="7"/>
      <c r="I77" s="7"/>
      <c r="J77" s="4">
        <f>IFERROR(I77-E77-F77+G77+H77,0)</f>
        <v>0</v>
      </c>
      <c r="K77" s="6">
        <f>IFERROR(J77/(E77+F77),0)</f>
        <v>0</v>
      </c>
      <c r="L77" s="6">
        <f>IFERROR(K77-SUMIFS($K$4:K77,$B$4:B77,B77,$C$4:C77,C77,$A$4:A77,EDATE(A77,-1)),K77)</f>
        <v>0</v>
      </c>
      <c r="M77" s="6">
        <f>IFERROR((I77+SUMIFS($G$4:G77,$B$4:B77,B77,$C$4:C77,C77,$A$4:A77,"&lt;="&amp;A77)+SUMIFS($H$4:H77,$B$4:B77,B77,$C$4:C77,C77,$A$4:A77,"&lt;="&amp;A77)-SUMIFS($F$4:F77,$B$4:B77,B77,$C$4:C77,C77,$A$4:A77,"&lt;="&amp;A77))/SUMIFS($F$4:F77,$B$4:B77,B77,$C$4:C77,C77,$A$4:A77,"&lt;="&amp;A77),0)</f>
        <v>0</v>
      </c>
      <c r="N77" s="8"/>
    </row>
    <row r="78" spans="1:14">
      <c r="A78" s="13">
        <v>46447</v>
      </c>
      <c r="B78" t="s">
        <v>29</v>
      </c>
      <c r="C78" t="s">
        <v>19</v>
      </c>
      <c r="D78" t="s">
        <v>30</v>
      </c>
      <c r="E78" s="7"/>
      <c r="F78" s="7"/>
      <c r="G78" s="7"/>
      <c r="H78" s="7"/>
      <c r="I78" s="7"/>
      <c r="J78" s="4">
        <f>IFERROR(I78-E78-F78+G78+H78,0)</f>
        <v>0</v>
      </c>
      <c r="K78" s="6">
        <f>IFERROR(J78/(E78+F78),0)</f>
        <v>0</v>
      </c>
      <c r="L78" s="6">
        <f>IFERROR(K78-SUMIFS($K$4:K78,$B$4:B78,B78,$C$4:C78,C78,$A$4:A78,EDATE(A78,-1)),K78)</f>
        <v>0</v>
      </c>
      <c r="M78" s="6">
        <f>IFERROR((I78+SUMIFS($G$4:G78,$B$4:B78,B78,$C$4:C78,C78,$A$4:A78,"&lt;="&amp;A78)+SUMIFS($H$4:H78,$B$4:B78,B78,$C$4:C78,C78,$A$4:A78,"&lt;="&amp;A78)-SUMIFS($F$4:F78,$B$4:B78,B78,$C$4:C78,C78,$A$4:A78,"&lt;="&amp;A78))/SUMIFS($F$4:F78,$B$4:B78,B78,$C$4:C78,C78,$A$4:A78,"&lt;="&amp;A78),0)</f>
        <v>0</v>
      </c>
      <c r="N78" s="8"/>
    </row>
    <row r="79" spans="1:14">
      <c r="A79" s="13">
        <v>46447</v>
      </c>
      <c r="B79" t="s">
        <v>29</v>
      </c>
      <c r="C79" t="s">
        <v>23</v>
      </c>
      <c r="D79" t="s">
        <v>31</v>
      </c>
      <c r="E79" s="7"/>
      <c r="F79" s="7"/>
      <c r="G79" s="7"/>
      <c r="H79" s="7"/>
      <c r="I79" s="7"/>
      <c r="J79" s="4">
        <f>IFERROR(I79-E79-F79+G79+H79,0)</f>
        <v>0</v>
      </c>
      <c r="K79" s="6">
        <f>IFERROR(J79/(E79+F79),0)</f>
        <v>0</v>
      </c>
      <c r="L79" s="6">
        <f>IFERROR(K79-SUMIFS($K$4:K79,$B$4:B79,B79,$C$4:C79,C79,$A$4:A79,EDATE(A79,-1)),K79)</f>
        <v>0</v>
      </c>
      <c r="M79" s="6">
        <f>IFERROR((I79+SUMIFS($G$4:G79,$B$4:B79,B79,$C$4:C79,C79,$A$4:A79,"&lt;="&amp;A79)+SUMIFS($H$4:H79,$B$4:B79,B79,$C$4:C79,C79,$A$4:A79,"&lt;="&amp;A79)-SUMIFS($F$4:F79,$B$4:B79,B79,$C$4:C79,C79,$A$4:A79,"&lt;="&amp;A79))/SUMIFS($F$4:F79,$B$4:B79,B79,$C$4:C79,C79,$A$4:A79,"&lt;="&amp;A79),0)</f>
        <v>0</v>
      </c>
      <c r="N79" s="8"/>
    </row>
    <row r="80" spans="1:14">
      <c r="A80" s="13">
        <v>46447</v>
      </c>
      <c r="B80" t="s">
        <v>32</v>
      </c>
      <c r="C80" t="s">
        <v>19</v>
      </c>
      <c r="D80" t="s">
        <v>33</v>
      </c>
      <c r="E80" s="7"/>
      <c r="F80" s="7"/>
      <c r="G80" s="7"/>
      <c r="H80" s="7"/>
      <c r="I80" s="7"/>
      <c r="J80" s="4">
        <f>IFERROR(I80-E80-F80+G80+H80,0)</f>
        <v>0</v>
      </c>
      <c r="K80" s="6">
        <f>IFERROR(J80/(E80+F80),0)</f>
        <v>0</v>
      </c>
      <c r="L80" s="6">
        <f>IFERROR(K80-SUMIFS($K$4:K80,$B$4:B80,B80,$C$4:C80,C80,$A$4:A80,EDATE(A80,-1)),K80)</f>
        <v>0</v>
      </c>
      <c r="M80" s="6">
        <f>IFERROR((I80+SUMIFS($G$4:G80,$B$4:B80,B80,$C$4:C80,C80,$A$4:A80,"&lt;="&amp;A80)+SUMIFS($H$4:H80,$B$4:B80,B80,$C$4:C80,C80,$A$4:A80,"&lt;="&amp;A80)-SUMIFS($F$4:F80,$B$4:B80,B80,$C$4:C80,C80,$A$4:A80,"&lt;="&amp;A80))/SUMIFS($F$4:F80,$B$4:B80,B80,$C$4:C80,C80,$A$4:A80,"&lt;="&amp;A80),0)</f>
        <v>0</v>
      </c>
      <c r="N80" s="8"/>
    </row>
    <row r="81" spans="1:14">
      <c r="A81" s="13">
        <v>46447</v>
      </c>
      <c r="B81" t="s">
        <v>32</v>
      </c>
      <c r="C81" t="s">
        <v>23</v>
      </c>
      <c r="D81" t="s">
        <v>34</v>
      </c>
      <c r="E81" s="7"/>
      <c r="F81" s="7"/>
      <c r="G81" s="7"/>
      <c r="H81" s="7"/>
      <c r="I81" s="7"/>
      <c r="J81" s="4">
        <f>IFERROR(I81-E81-F81+G81+H81,0)</f>
        <v>0</v>
      </c>
      <c r="K81" s="6">
        <f>IFERROR(J81/(E81+F81),0)</f>
        <v>0</v>
      </c>
      <c r="L81" s="6">
        <f>IFERROR(K81-SUMIFS($K$4:K81,$B$4:B81,B81,$C$4:C81,C81,$A$4:A81,EDATE(A81,-1)),K81)</f>
        <v>0</v>
      </c>
      <c r="M81" s="6">
        <f>IFERROR((I81+SUMIFS($G$4:G81,$B$4:B81,B81,$C$4:C81,C81,$A$4:A81,"&lt;="&amp;A81)+SUMIFS($H$4:H81,$B$4:B81,B81,$C$4:C81,C81,$A$4:A81,"&lt;="&amp;A81)-SUMIFS($F$4:F81,$B$4:B81,B81,$C$4:C81,C81,$A$4:A81,"&lt;="&amp;A81))/SUMIFS($F$4:F81,$B$4:B81,B81,$C$4:C81,C81,$A$4:A81,"&lt;="&amp;A81),0)</f>
        <v>0</v>
      </c>
      <c r="N81" s="8"/>
    </row>
    <row r="82" spans="1:14">
      <c r="A82" s="13">
        <v>46447</v>
      </c>
      <c r="B82" t="s">
        <v>35</v>
      </c>
      <c r="C82" t="s">
        <v>19</v>
      </c>
      <c r="D82" t="s">
        <v>36</v>
      </c>
      <c r="E82" s="7"/>
      <c r="F82" s="7"/>
      <c r="G82" s="7"/>
      <c r="H82" s="7"/>
      <c r="I82" s="7"/>
      <c r="J82" s="4">
        <f>IFERROR(I82-E82-F82+G82+H82,0)</f>
        <v>0</v>
      </c>
      <c r="K82" s="6">
        <f>IFERROR(J82/(E82+F82),0)</f>
        <v>0</v>
      </c>
      <c r="L82" s="6">
        <f>IFERROR(K82-SUMIFS($K$4:K82,$B$4:B82,B82,$C$4:C82,C82,$A$4:A82,EDATE(A82,-1)),K82)</f>
        <v>0</v>
      </c>
      <c r="M82" s="6">
        <f>IFERROR((I82+SUMIFS($G$4:G82,$B$4:B82,B82,$C$4:C82,C82,$A$4:A82,"&lt;="&amp;A82)+SUMIFS($H$4:H82,$B$4:B82,B82,$C$4:C82,C82,$A$4:A82,"&lt;="&amp;A82)-SUMIFS($F$4:F82,$B$4:B82,B82,$C$4:C82,C82,$A$4:A82,"&lt;="&amp;A82))/SUMIFS($F$4:F82,$B$4:B82,B82,$C$4:C82,C82,$A$4:A82,"&lt;="&amp;A82),0)</f>
        <v>0</v>
      </c>
      <c r="N82" s="8"/>
    </row>
    <row r="83" spans="1:14">
      <c r="A83" s="13">
        <v>46447</v>
      </c>
      <c r="B83" t="s">
        <v>35</v>
      </c>
      <c r="C83" t="s">
        <v>23</v>
      </c>
      <c r="D83" t="s">
        <v>37</v>
      </c>
      <c r="E83" s="7"/>
      <c r="F83" s="7"/>
      <c r="G83" s="7"/>
      <c r="H83" s="7"/>
      <c r="I83" s="7"/>
      <c r="J83" s="4">
        <f>IFERROR(I83-E83-F83+G83+H83,0)</f>
        <v>0</v>
      </c>
      <c r="K83" s="6">
        <f>IFERROR(J83/(E83+F83),0)</f>
        <v>0</v>
      </c>
      <c r="L83" s="6">
        <f>IFERROR(K83-SUMIFS($K$4:K83,$B$4:B83,B83,$C$4:C83,C83,$A$4:A83,EDATE(A83,-1)),K83)</f>
        <v>0</v>
      </c>
      <c r="M83" s="6">
        <f>IFERROR((I83+SUMIFS($G$4:G83,$B$4:B83,B83,$C$4:C83,C83,$A$4:A83,"&lt;="&amp;A83)+SUMIFS($H$4:H83,$B$4:B83,B83,$C$4:C83,C83,$A$4:A83,"&lt;="&amp;A83)-SUMIFS($F$4:F83,$B$4:B83,B83,$C$4:C83,C83,$A$4:A83,"&lt;="&amp;A83))/SUMIFS($F$4:F83,$B$4:B83,B83,$C$4:C83,C83,$A$4:A83,"&lt;="&amp;A83),0)</f>
        <v>0</v>
      </c>
      <c r="N83" s="8"/>
    </row>
    <row r="84" spans="1:14">
      <c r="A84" s="13">
        <v>46447</v>
      </c>
      <c r="B84" t="s">
        <v>38</v>
      </c>
      <c r="C84" t="s">
        <v>19</v>
      </c>
      <c r="D84" t="s">
        <v>39</v>
      </c>
      <c r="E84" s="7"/>
      <c r="F84" s="7"/>
      <c r="G84" s="7"/>
      <c r="H84" s="7"/>
      <c r="I84" s="7"/>
      <c r="J84" s="4">
        <f>IFERROR(I84-E84-F84+G84+H84,0)</f>
        <v>0</v>
      </c>
      <c r="K84" s="6">
        <f>IFERROR(J84/(E84+F84),0)</f>
        <v>0</v>
      </c>
      <c r="L84" s="6">
        <f>IFERROR(K84-SUMIFS($K$4:K84,$B$4:B84,B84,$C$4:C84,C84,$A$4:A84,EDATE(A84,-1)),K84)</f>
        <v>0</v>
      </c>
      <c r="M84" s="6">
        <f>IFERROR((I84+SUMIFS($G$4:G84,$B$4:B84,B84,$C$4:C84,C84,$A$4:A84,"&lt;="&amp;A84)+SUMIFS($H$4:H84,$B$4:B84,B84,$C$4:C84,C84,$A$4:A84,"&lt;="&amp;A84)-SUMIFS($F$4:F84,$B$4:B84,B84,$C$4:C84,C84,$A$4:A84,"&lt;="&amp;A84))/SUMIFS($F$4:F84,$B$4:B84,B84,$C$4:C84,C84,$A$4:A84,"&lt;="&amp;A84),0)</f>
        <v>0</v>
      </c>
      <c r="N84" s="8"/>
    </row>
    <row r="85" spans="1:14">
      <c r="A85" s="13">
        <v>46447</v>
      </c>
      <c r="B85" t="s">
        <v>38</v>
      </c>
      <c r="C85" t="s">
        <v>23</v>
      </c>
      <c r="D85" t="s">
        <v>40</v>
      </c>
      <c r="E85" s="7"/>
      <c r="F85" s="7"/>
      <c r="G85" s="7"/>
      <c r="H85" s="7"/>
      <c r="I85" s="7"/>
      <c r="J85" s="4">
        <f>IFERROR(I85-E85-F85+G85+H85,0)</f>
        <v>0</v>
      </c>
      <c r="K85" s="6">
        <f>IFERROR(J85/(E85+F85),0)</f>
        <v>0</v>
      </c>
      <c r="L85" s="6">
        <f>IFERROR(K85-SUMIFS($K$4:K85,$B$4:B85,B85,$C$4:C85,C85,$A$4:A85,EDATE(A85,-1)),K85)</f>
        <v>0</v>
      </c>
      <c r="M85" s="6">
        <f>IFERROR((I85+SUMIFS($G$4:G85,$B$4:B85,B85,$C$4:C85,C85,$A$4:A85,"&lt;="&amp;A85)+SUMIFS($H$4:H85,$B$4:B85,B85,$C$4:C85,C85,$A$4:A85,"&lt;="&amp;A85)-SUMIFS($F$4:F85,$B$4:B85,B85,$C$4:C85,C85,$A$4:A85,"&lt;="&amp;A85))/SUMIFS($F$4:F85,$B$4:B85,B85,$C$4:C85,C85,$A$4:A85,"&lt;="&amp;A85),0)</f>
        <v>0</v>
      </c>
      <c r="N85" s="8"/>
    </row>
    <row r="86" spans="1:14">
      <c r="A86" s="13">
        <v>46447</v>
      </c>
      <c r="B86" t="s">
        <v>41</v>
      </c>
      <c r="C86" t="s">
        <v>19</v>
      </c>
      <c r="D86" t="s">
        <v>42</v>
      </c>
      <c r="E86" s="7"/>
      <c r="F86" s="7"/>
      <c r="G86" s="7"/>
      <c r="H86" s="7"/>
      <c r="I86" s="7"/>
      <c r="J86" s="4">
        <f>IFERROR(I86-E86-F86+G86+H86,0)</f>
        <v>0</v>
      </c>
      <c r="K86" s="6">
        <f>IFERROR(J86/(E86+F86),0)</f>
        <v>0</v>
      </c>
      <c r="L86" s="6">
        <f>IFERROR(K86-SUMIFS($K$4:K86,$B$4:B86,B86,$C$4:C86,C86,$A$4:A86,EDATE(A86,-1)),K86)</f>
        <v>0</v>
      </c>
      <c r="M86" s="6">
        <f>IFERROR((I86+SUMIFS($G$4:G86,$B$4:B86,B86,$C$4:C86,C86,$A$4:A86,"&lt;="&amp;A86)+SUMIFS($H$4:H86,$B$4:B86,B86,$C$4:C86,C86,$A$4:A86,"&lt;="&amp;A86)-SUMIFS($F$4:F86,$B$4:B86,B86,$C$4:C86,C86,$A$4:A86,"&lt;="&amp;A86))/SUMIFS($F$4:F86,$B$4:B86,B86,$C$4:C86,C86,$A$4:A86,"&lt;="&amp;A86),0)</f>
        <v>0</v>
      </c>
      <c r="N86" s="8"/>
    </row>
    <row r="87" spans="1:14">
      <c r="A87" s="13">
        <v>46447</v>
      </c>
      <c r="B87" t="s">
        <v>41</v>
      </c>
      <c r="C87" t="s">
        <v>23</v>
      </c>
      <c r="D87" t="s">
        <v>43</v>
      </c>
      <c r="E87" s="7"/>
      <c r="F87" s="7"/>
      <c r="G87" s="7"/>
      <c r="H87" s="7"/>
      <c r="I87" s="7"/>
      <c r="J87" s="4">
        <f>IFERROR(I87-E87-F87+G87+H87,0)</f>
        <v>0</v>
      </c>
      <c r="K87" s="6">
        <f>IFERROR(J87/(E87+F87),0)</f>
        <v>0</v>
      </c>
      <c r="L87" s="6">
        <f>IFERROR(K87-SUMIFS($K$4:K87,$B$4:B87,B87,$C$4:C87,C87,$A$4:A87,EDATE(A87,-1)),K87)</f>
        <v>0</v>
      </c>
      <c r="M87" s="6">
        <f>IFERROR((I87+SUMIFS($G$4:G87,$B$4:B87,B87,$C$4:C87,C87,$A$4:A87,"&lt;="&amp;A87)+SUMIFS($H$4:H87,$B$4:B87,B87,$C$4:C87,C87,$A$4:A87,"&lt;="&amp;A87)-SUMIFS($F$4:F87,$B$4:B87,B87,$C$4:C87,C87,$A$4:A87,"&lt;="&amp;A87))/SUMIFS($F$4:F87,$B$4:B87,B87,$C$4:C87,C87,$A$4:A87,"&lt;="&amp;A87),0)</f>
        <v>0</v>
      </c>
      <c r="N87" s="8"/>
    </row>
    <row r="88" spans="1:14">
      <c r="A88" s="13">
        <v>46478</v>
      </c>
      <c r="B88" t="s">
        <v>18</v>
      </c>
      <c r="C88" t="s">
        <v>19</v>
      </c>
      <c r="D88" t="s">
        <v>21</v>
      </c>
      <c r="E88" s="7"/>
      <c r="F88" s="7"/>
      <c r="G88" s="7"/>
      <c r="H88" s="7"/>
      <c r="I88" s="7"/>
      <c r="J88" s="4">
        <f>IFERROR(I88-E88-F88+G88+H88,0)</f>
        <v>0</v>
      </c>
      <c r="K88" s="6">
        <f>IFERROR(J88/(E88+F88),0)</f>
        <v>0</v>
      </c>
      <c r="L88" s="6">
        <f>IFERROR(K88-SUMIFS($K$4:K88,$B$4:B88,B88,$C$4:C88,C88,$A$4:A88,EDATE(A88,-1)),K88)</f>
        <v>0</v>
      </c>
      <c r="M88" s="6">
        <f>IFERROR((I88+SUMIFS($G$4:G88,$B$4:B88,B88,$C$4:C88,C88,$A$4:A88,"&lt;="&amp;A88)+SUMIFS($H$4:H88,$B$4:B88,B88,$C$4:C88,C88,$A$4:A88,"&lt;="&amp;A88)-SUMIFS($F$4:F88,$B$4:B88,B88,$C$4:C88,C88,$A$4:A88,"&lt;="&amp;A88))/SUMIFS($F$4:F88,$B$4:B88,B88,$C$4:C88,C88,$A$4:A88,"&lt;="&amp;A88),0)</f>
        <v>0</v>
      </c>
      <c r="N88" s="8"/>
    </row>
    <row r="89" spans="1:14">
      <c r="A89" s="13">
        <v>46478</v>
      </c>
      <c r="B89" t="s">
        <v>18</v>
      </c>
      <c r="C89" t="s">
        <v>23</v>
      </c>
      <c r="D89" t="s">
        <v>24</v>
      </c>
      <c r="E89" s="7"/>
      <c r="F89" s="7"/>
      <c r="G89" s="7"/>
      <c r="H89" s="7"/>
      <c r="I89" s="7"/>
      <c r="J89" s="4">
        <f>IFERROR(I89-E89-F89+G89+H89,0)</f>
        <v>0</v>
      </c>
      <c r="K89" s="6">
        <f>IFERROR(J89/(E89+F89),0)</f>
        <v>0</v>
      </c>
      <c r="L89" s="6">
        <f>IFERROR(K89-SUMIFS($K$4:K89,$B$4:B89,B89,$C$4:C89,C89,$A$4:A89,EDATE(A89,-1)),K89)</f>
        <v>0</v>
      </c>
      <c r="M89" s="6">
        <f>IFERROR((I89+SUMIFS($G$4:G89,$B$4:B89,B89,$C$4:C89,C89,$A$4:A89,"&lt;="&amp;A89)+SUMIFS($H$4:H89,$B$4:B89,B89,$C$4:C89,C89,$A$4:A89,"&lt;="&amp;A89)-SUMIFS($F$4:F89,$B$4:B89,B89,$C$4:C89,C89,$A$4:A89,"&lt;="&amp;A89))/SUMIFS($F$4:F89,$B$4:B89,B89,$C$4:C89,C89,$A$4:A89,"&lt;="&amp;A89),0)</f>
        <v>0</v>
      </c>
      <c r="N89" s="8"/>
    </row>
    <row r="90" spans="1:14">
      <c r="A90" s="13">
        <v>46478</v>
      </c>
      <c r="B90" t="s">
        <v>26</v>
      </c>
      <c r="C90" t="s">
        <v>19</v>
      </c>
      <c r="D90" t="s">
        <v>27</v>
      </c>
      <c r="E90" s="7"/>
      <c r="F90" s="7"/>
      <c r="G90" s="7"/>
      <c r="H90" s="7"/>
      <c r="I90" s="7"/>
      <c r="J90" s="4">
        <f>IFERROR(I90-E90-F90+G90+H90,0)</f>
        <v>0</v>
      </c>
      <c r="K90" s="6">
        <f>IFERROR(J90/(E90+F90),0)</f>
        <v>0</v>
      </c>
      <c r="L90" s="6">
        <f>IFERROR(K90-SUMIFS($K$4:K90,$B$4:B90,B90,$C$4:C90,C90,$A$4:A90,EDATE(A90,-1)),K90)</f>
        <v>0</v>
      </c>
      <c r="M90" s="6">
        <f>IFERROR((I90+SUMIFS($G$4:G90,$B$4:B90,B90,$C$4:C90,C90,$A$4:A90,"&lt;="&amp;A90)+SUMIFS($H$4:H90,$B$4:B90,B90,$C$4:C90,C90,$A$4:A90,"&lt;="&amp;A90)-SUMIFS($F$4:F90,$B$4:B90,B90,$C$4:C90,C90,$A$4:A90,"&lt;="&amp;A90))/SUMIFS($F$4:F90,$B$4:B90,B90,$C$4:C90,C90,$A$4:A90,"&lt;="&amp;A90),0)</f>
        <v>0</v>
      </c>
      <c r="N90" s="8"/>
    </row>
    <row r="91" spans="1:14">
      <c r="A91" s="13">
        <v>46478</v>
      </c>
      <c r="B91" t="s">
        <v>26</v>
      </c>
      <c r="C91" t="s">
        <v>23</v>
      </c>
      <c r="D91" t="s">
        <v>28</v>
      </c>
      <c r="E91" s="7"/>
      <c r="F91" s="7"/>
      <c r="G91" s="7"/>
      <c r="H91" s="7"/>
      <c r="I91" s="7"/>
      <c r="J91" s="4">
        <f>IFERROR(I91-E91-F91+G91+H91,0)</f>
        <v>0</v>
      </c>
      <c r="K91" s="6">
        <f>IFERROR(J91/(E91+F91),0)</f>
        <v>0</v>
      </c>
      <c r="L91" s="6">
        <f>IFERROR(K91-SUMIFS($K$4:K91,$B$4:B91,B91,$C$4:C91,C91,$A$4:A91,EDATE(A91,-1)),K91)</f>
        <v>0</v>
      </c>
      <c r="M91" s="6">
        <f>IFERROR((I91+SUMIFS($G$4:G91,$B$4:B91,B91,$C$4:C91,C91,$A$4:A91,"&lt;="&amp;A91)+SUMIFS($H$4:H91,$B$4:B91,B91,$C$4:C91,C91,$A$4:A91,"&lt;="&amp;A91)-SUMIFS($F$4:F91,$B$4:B91,B91,$C$4:C91,C91,$A$4:A91,"&lt;="&amp;A91))/SUMIFS($F$4:F91,$B$4:B91,B91,$C$4:C91,C91,$A$4:A91,"&lt;="&amp;A91),0)</f>
        <v>0</v>
      </c>
      <c r="N91" s="8"/>
    </row>
    <row r="92" spans="1:14">
      <c r="A92" s="13">
        <v>46478</v>
      </c>
      <c r="B92" t="s">
        <v>29</v>
      </c>
      <c r="C92" t="s">
        <v>19</v>
      </c>
      <c r="D92" t="s">
        <v>30</v>
      </c>
      <c r="E92" s="7"/>
      <c r="F92" s="7"/>
      <c r="G92" s="7"/>
      <c r="H92" s="7"/>
      <c r="I92" s="7"/>
      <c r="J92" s="4">
        <f>IFERROR(I92-E92-F92+G92+H92,0)</f>
        <v>0</v>
      </c>
      <c r="K92" s="6">
        <f>IFERROR(J92/(E92+F92),0)</f>
        <v>0</v>
      </c>
      <c r="L92" s="6">
        <f>IFERROR(K92-SUMIFS($K$4:K92,$B$4:B92,B92,$C$4:C92,C92,$A$4:A92,EDATE(A92,-1)),K92)</f>
        <v>0</v>
      </c>
      <c r="M92" s="6">
        <f>IFERROR((I92+SUMIFS($G$4:G92,$B$4:B92,B92,$C$4:C92,C92,$A$4:A92,"&lt;="&amp;A92)+SUMIFS($H$4:H92,$B$4:B92,B92,$C$4:C92,C92,$A$4:A92,"&lt;="&amp;A92)-SUMIFS($F$4:F92,$B$4:B92,B92,$C$4:C92,C92,$A$4:A92,"&lt;="&amp;A92))/SUMIFS($F$4:F92,$B$4:B92,B92,$C$4:C92,C92,$A$4:A92,"&lt;="&amp;A92),0)</f>
        <v>0</v>
      </c>
      <c r="N92" s="8"/>
    </row>
    <row r="93" spans="1:14">
      <c r="A93" s="13">
        <v>46478</v>
      </c>
      <c r="B93" t="s">
        <v>29</v>
      </c>
      <c r="C93" t="s">
        <v>23</v>
      </c>
      <c r="D93" t="s">
        <v>31</v>
      </c>
      <c r="E93" s="7"/>
      <c r="F93" s="7"/>
      <c r="G93" s="7"/>
      <c r="H93" s="7"/>
      <c r="I93" s="7"/>
      <c r="J93" s="4">
        <f>IFERROR(I93-E93-F93+G93+H93,0)</f>
        <v>0</v>
      </c>
      <c r="K93" s="6">
        <f>IFERROR(J93/(E93+F93),0)</f>
        <v>0</v>
      </c>
      <c r="L93" s="6">
        <f>IFERROR(K93-SUMIFS($K$4:K93,$B$4:B93,B93,$C$4:C93,C93,$A$4:A93,EDATE(A93,-1)),K93)</f>
        <v>0</v>
      </c>
      <c r="M93" s="6">
        <f>IFERROR((I93+SUMIFS($G$4:G93,$B$4:B93,B93,$C$4:C93,C93,$A$4:A93,"&lt;="&amp;A93)+SUMIFS($H$4:H93,$B$4:B93,B93,$C$4:C93,C93,$A$4:A93,"&lt;="&amp;A93)-SUMIFS($F$4:F93,$B$4:B93,B93,$C$4:C93,C93,$A$4:A93,"&lt;="&amp;A93))/SUMIFS($F$4:F93,$B$4:B93,B93,$C$4:C93,C93,$A$4:A93,"&lt;="&amp;A93),0)</f>
        <v>0</v>
      </c>
      <c r="N93" s="8"/>
    </row>
    <row r="94" spans="1:14">
      <c r="A94" s="13">
        <v>46478</v>
      </c>
      <c r="B94" t="s">
        <v>32</v>
      </c>
      <c r="C94" t="s">
        <v>19</v>
      </c>
      <c r="D94" t="s">
        <v>33</v>
      </c>
      <c r="E94" s="7"/>
      <c r="F94" s="7"/>
      <c r="G94" s="7"/>
      <c r="H94" s="7"/>
      <c r="I94" s="7"/>
      <c r="J94" s="4">
        <f>IFERROR(I94-E94-F94+G94+H94,0)</f>
        <v>0</v>
      </c>
      <c r="K94" s="6">
        <f>IFERROR(J94/(E94+F94),0)</f>
        <v>0</v>
      </c>
      <c r="L94" s="6">
        <f>IFERROR(K94-SUMIFS($K$4:K94,$B$4:B94,B94,$C$4:C94,C94,$A$4:A94,EDATE(A94,-1)),K94)</f>
        <v>0</v>
      </c>
      <c r="M94" s="6">
        <f>IFERROR((I94+SUMIFS($G$4:G94,$B$4:B94,B94,$C$4:C94,C94,$A$4:A94,"&lt;="&amp;A94)+SUMIFS($H$4:H94,$B$4:B94,B94,$C$4:C94,C94,$A$4:A94,"&lt;="&amp;A94)-SUMIFS($F$4:F94,$B$4:B94,B94,$C$4:C94,C94,$A$4:A94,"&lt;="&amp;A94))/SUMIFS($F$4:F94,$B$4:B94,B94,$C$4:C94,C94,$A$4:A94,"&lt;="&amp;A94),0)</f>
        <v>0</v>
      </c>
      <c r="N94" s="8"/>
    </row>
    <row r="95" spans="1:14">
      <c r="A95" s="13">
        <v>46478</v>
      </c>
      <c r="B95" t="s">
        <v>32</v>
      </c>
      <c r="C95" t="s">
        <v>23</v>
      </c>
      <c r="D95" t="s">
        <v>34</v>
      </c>
      <c r="E95" s="7"/>
      <c r="F95" s="7"/>
      <c r="G95" s="7"/>
      <c r="H95" s="7"/>
      <c r="I95" s="7"/>
      <c r="J95" s="4">
        <f>IFERROR(I95-E95-F95+G95+H95,0)</f>
        <v>0</v>
      </c>
      <c r="K95" s="6">
        <f>IFERROR(J95/(E95+F95),0)</f>
        <v>0</v>
      </c>
      <c r="L95" s="6">
        <f>IFERROR(K95-SUMIFS($K$4:K95,$B$4:B95,B95,$C$4:C95,C95,$A$4:A95,EDATE(A95,-1)),K95)</f>
        <v>0</v>
      </c>
      <c r="M95" s="6">
        <f>IFERROR((I95+SUMIFS($G$4:G95,$B$4:B95,B95,$C$4:C95,C95,$A$4:A95,"&lt;="&amp;A95)+SUMIFS($H$4:H95,$B$4:B95,B95,$C$4:C95,C95,$A$4:A95,"&lt;="&amp;A95)-SUMIFS($F$4:F95,$B$4:B95,B95,$C$4:C95,C95,$A$4:A95,"&lt;="&amp;A95))/SUMIFS($F$4:F95,$B$4:B95,B95,$C$4:C95,C95,$A$4:A95,"&lt;="&amp;A95),0)</f>
        <v>0</v>
      </c>
      <c r="N95" s="8"/>
    </row>
    <row r="96" spans="1:14">
      <c r="A96" s="13">
        <v>46478</v>
      </c>
      <c r="B96" t="s">
        <v>35</v>
      </c>
      <c r="C96" t="s">
        <v>19</v>
      </c>
      <c r="D96" t="s">
        <v>36</v>
      </c>
      <c r="E96" s="7"/>
      <c r="F96" s="7"/>
      <c r="G96" s="7"/>
      <c r="H96" s="7"/>
      <c r="I96" s="7"/>
      <c r="J96" s="4">
        <f>IFERROR(I96-E96-F96+G96+H96,0)</f>
        <v>0</v>
      </c>
      <c r="K96" s="6">
        <f>IFERROR(J96/(E96+F96),0)</f>
        <v>0</v>
      </c>
      <c r="L96" s="6">
        <f>IFERROR(K96-SUMIFS($K$4:K96,$B$4:B96,B96,$C$4:C96,C96,$A$4:A96,EDATE(A96,-1)),K96)</f>
        <v>0</v>
      </c>
      <c r="M96" s="6">
        <f>IFERROR((I96+SUMIFS($G$4:G96,$B$4:B96,B96,$C$4:C96,C96,$A$4:A96,"&lt;="&amp;A96)+SUMIFS($H$4:H96,$B$4:B96,B96,$C$4:C96,C96,$A$4:A96,"&lt;="&amp;A96)-SUMIFS($F$4:F96,$B$4:B96,B96,$C$4:C96,C96,$A$4:A96,"&lt;="&amp;A96))/SUMIFS($F$4:F96,$B$4:B96,B96,$C$4:C96,C96,$A$4:A96,"&lt;="&amp;A96),0)</f>
        <v>0</v>
      </c>
      <c r="N96" s="8"/>
    </row>
    <row r="97" spans="1:14">
      <c r="A97" s="13">
        <v>46478</v>
      </c>
      <c r="B97" t="s">
        <v>35</v>
      </c>
      <c r="C97" t="s">
        <v>23</v>
      </c>
      <c r="D97" t="s">
        <v>37</v>
      </c>
      <c r="E97" s="7"/>
      <c r="F97" s="7"/>
      <c r="G97" s="7"/>
      <c r="H97" s="7"/>
      <c r="I97" s="7"/>
      <c r="J97" s="4">
        <f>IFERROR(I97-E97-F97+G97+H97,0)</f>
        <v>0</v>
      </c>
      <c r="K97" s="6">
        <f>IFERROR(J97/(E97+F97),0)</f>
        <v>0</v>
      </c>
      <c r="L97" s="6">
        <f>IFERROR(K97-SUMIFS($K$4:K97,$B$4:B97,B97,$C$4:C97,C97,$A$4:A97,EDATE(A97,-1)),K97)</f>
        <v>0</v>
      </c>
      <c r="M97" s="6">
        <f>IFERROR((I97+SUMIFS($G$4:G97,$B$4:B97,B97,$C$4:C97,C97,$A$4:A97,"&lt;="&amp;A97)+SUMIFS($H$4:H97,$B$4:B97,B97,$C$4:C97,C97,$A$4:A97,"&lt;="&amp;A97)-SUMIFS($F$4:F97,$B$4:B97,B97,$C$4:C97,C97,$A$4:A97,"&lt;="&amp;A97))/SUMIFS($F$4:F97,$B$4:B97,B97,$C$4:C97,C97,$A$4:A97,"&lt;="&amp;A97),0)</f>
        <v>0</v>
      </c>
      <c r="N97" s="8"/>
    </row>
    <row r="98" spans="1:14">
      <c r="A98" s="13">
        <v>46478</v>
      </c>
      <c r="B98" t="s">
        <v>38</v>
      </c>
      <c r="C98" t="s">
        <v>19</v>
      </c>
      <c r="D98" t="s">
        <v>39</v>
      </c>
      <c r="E98" s="7"/>
      <c r="F98" s="7"/>
      <c r="G98" s="7"/>
      <c r="H98" s="7"/>
      <c r="I98" s="7"/>
      <c r="J98" s="4">
        <f>IFERROR(I98-E98-F98+G98+H98,0)</f>
        <v>0</v>
      </c>
      <c r="K98" s="6">
        <f>IFERROR(J98/(E98+F98),0)</f>
        <v>0</v>
      </c>
      <c r="L98" s="6">
        <f>IFERROR(K98-SUMIFS($K$4:K98,$B$4:B98,B98,$C$4:C98,C98,$A$4:A98,EDATE(A98,-1)),K98)</f>
        <v>0</v>
      </c>
      <c r="M98" s="6">
        <f>IFERROR((I98+SUMIFS($G$4:G98,$B$4:B98,B98,$C$4:C98,C98,$A$4:A98,"&lt;="&amp;A98)+SUMIFS($H$4:H98,$B$4:B98,B98,$C$4:C98,C98,$A$4:A98,"&lt;="&amp;A98)-SUMIFS($F$4:F98,$B$4:B98,B98,$C$4:C98,C98,$A$4:A98,"&lt;="&amp;A98))/SUMIFS($F$4:F98,$B$4:B98,B98,$C$4:C98,C98,$A$4:A98,"&lt;="&amp;A98),0)</f>
        <v>0</v>
      </c>
      <c r="N98" s="8"/>
    </row>
    <row r="99" spans="1:14">
      <c r="A99" s="13">
        <v>46478</v>
      </c>
      <c r="B99" t="s">
        <v>38</v>
      </c>
      <c r="C99" t="s">
        <v>23</v>
      </c>
      <c r="D99" t="s">
        <v>40</v>
      </c>
      <c r="E99" s="7"/>
      <c r="F99" s="7"/>
      <c r="G99" s="7"/>
      <c r="H99" s="7"/>
      <c r="I99" s="7"/>
      <c r="J99" s="4">
        <f>IFERROR(I99-E99-F99+G99+H99,0)</f>
        <v>0</v>
      </c>
      <c r="K99" s="6">
        <f>IFERROR(J99/(E99+F99),0)</f>
        <v>0</v>
      </c>
      <c r="L99" s="6">
        <f>IFERROR(K99-SUMIFS($K$4:K99,$B$4:B99,B99,$C$4:C99,C99,$A$4:A99,EDATE(A99,-1)),K99)</f>
        <v>0</v>
      </c>
      <c r="M99" s="6">
        <f>IFERROR((I99+SUMIFS($G$4:G99,$B$4:B99,B99,$C$4:C99,C99,$A$4:A99,"&lt;="&amp;A99)+SUMIFS($H$4:H99,$B$4:B99,B99,$C$4:C99,C99,$A$4:A99,"&lt;="&amp;A99)-SUMIFS($F$4:F99,$B$4:B99,B99,$C$4:C99,C99,$A$4:A99,"&lt;="&amp;A99))/SUMIFS($F$4:F99,$B$4:B99,B99,$C$4:C99,C99,$A$4:A99,"&lt;="&amp;A99),0)</f>
        <v>0</v>
      </c>
      <c r="N99" s="8"/>
    </row>
    <row r="100" spans="1:14">
      <c r="A100" s="13">
        <v>46478</v>
      </c>
      <c r="B100" t="s">
        <v>41</v>
      </c>
      <c r="C100" t="s">
        <v>19</v>
      </c>
      <c r="D100" t="s">
        <v>42</v>
      </c>
      <c r="E100" s="7"/>
      <c r="F100" s="7"/>
      <c r="G100" s="7"/>
      <c r="H100" s="7"/>
      <c r="I100" s="7"/>
      <c r="J100" s="4">
        <f>IFERROR(I100-E100-F100+G100+H100,0)</f>
        <v>0</v>
      </c>
      <c r="K100" s="6">
        <f>IFERROR(J100/(E100+F100),0)</f>
        <v>0</v>
      </c>
      <c r="L100" s="6">
        <f>IFERROR(K100-SUMIFS($K$4:K100,$B$4:B100,B100,$C$4:C100,C100,$A$4:A100,EDATE(A100,-1)),K100)</f>
        <v>0</v>
      </c>
      <c r="M100" s="6">
        <f>IFERROR((I100+SUMIFS($G$4:G100,$B$4:B100,B100,$C$4:C100,C100,$A$4:A100,"&lt;="&amp;A100)+SUMIFS($H$4:H100,$B$4:B100,B100,$C$4:C100,C100,$A$4:A100,"&lt;="&amp;A100)-SUMIFS($F$4:F100,$B$4:B100,B100,$C$4:C100,C100,$A$4:A100,"&lt;="&amp;A100))/SUMIFS($F$4:F100,$B$4:B100,B100,$C$4:C100,C100,$A$4:A100,"&lt;="&amp;A100),0)</f>
        <v>0</v>
      </c>
      <c r="N100" s="8"/>
    </row>
    <row r="101" spans="1:14">
      <c r="A101" s="13">
        <v>46478</v>
      </c>
      <c r="B101" t="s">
        <v>41</v>
      </c>
      <c r="C101" t="s">
        <v>23</v>
      </c>
      <c r="D101" t="s">
        <v>43</v>
      </c>
      <c r="E101" s="7"/>
      <c r="F101" s="7"/>
      <c r="G101" s="7"/>
      <c r="H101" s="7"/>
      <c r="I101" s="7"/>
      <c r="J101" s="4">
        <f>IFERROR(I101-E101-F101+G101+H101,0)</f>
        <v>0</v>
      </c>
      <c r="K101" s="6">
        <f>IFERROR(J101/(E101+F101),0)</f>
        <v>0</v>
      </c>
      <c r="L101" s="6">
        <f>IFERROR(K101-SUMIFS($K$4:K101,$B$4:B101,B101,$C$4:C101,C101,$A$4:A101,EDATE(A101,-1)),K101)</f>
        <v>0</v>
      </c>
      <c r="M101" s="6">
        <f>IFERROR((I101+SUMIFS($G$4:G101,$B$4:B101,B101,$C$4:C101,C101,$A$4:A101,"&lt;="&amp;A101)+SUMIFS($H$4:H101,$B$4:B101,B101,$C$4:C101,C101,$A$4:A101,"&lt;="&amp;A101)-SUMIFS($F$4:F101,$B$4:B101,B101,$C$4:C101,C101,$A$4:A101,"&lt;="&amp;A101))/SUMIFS($F$4:F101,$B$4:B101,B101,$C$4:C101,C101,$A$4:A101,"&lt;="&amp;A101),0)</f>
        <v>0</v>
      </c>
      <c r="N101" s="8"/>
    </row>
    <row r="102" spans="1:14">
      <c r="A102" s="13">
        <v>46508</v>
      </c>
      <c r="B102" t="s">
        <v>18</v>
      </c>
      <c r="C102" t="s">
        <v>19</v>
      </c>
      <c r="D102" t="s">
        <v>21</v>
      </c>
      <c r="E102" s="7"/>
      <c r="F102" s="7"/>
      <c r="G102" s="7"/>
      <c r="H102" s="7"/>
      <c r="I102" s="7"/>
      <c r="J102" s="4">
        <f>IFERROR(I102-E102-F102+G102+H102,0)</f>
        <v>0</v>
      </c>
      <c r="K102" s="6">
        <f>IFERROR(J102/(E102+F102),0)</f>
        <v>0</v>
      </c>
      <c r="L102" s="6">
        <f>IFERROR(K102-SUMIFS($K$4:K102,$B$4:B102,B102,$C$4:C102,C102,$A$4:A102,EDATE(A102,-1)),K102)</f>
        <v>0</v>
      </c>
      <c r="M102" s="6">
        <f>IFERROR((I102+SUMIFS($G$4:G102,$B$4:B102,B102,$C$4:C102,C102,$A$4:A102,"&lt;="&amp;A102)+SUMIFS($H$4:H102,$B$4:B102,B102,$C$4:C102,C102,$A$4:A102,"&lt;="&amp;A102)-SUMIFS($F$4:F102,$B$4:B102,B102,$C$4:C102,C102,$A$4:A102,"&lt;="&amp;A102))/SUMIFS($F$4:F102,$B$4:B102,B102,$C$4:C102,C102,$A$4:A102,"&lt;="&amp;A102),0)</f>
        <v>0</v>
      </c>
      <c r="N102" s="8"/>
    </row>
    <row r="103" spans="1:14">
      <c r="A103" s="13">
        <v>46508</v>
      </c>
      <c r="B103" t="s">
        <v>18</v>
      </c>
      <c r="C103" t="s">
        <v>23</v>
      </c>
      <c r="D103" t="s">
        <v>24</v>
      </c>
      <c r="E103" s="7"/>
      <c r="F103" s="7"/>
      <c r="G103" s="7"/>
      <c r="H103" s="7"/>
      <c r="I103" s="7"/>
      <c r="J103" s="4">
        <f>IFERROR(I103-E103-F103+G103+H103,0)</f>
        <v>0</v>
      </c>
      <c r="K103" s="6">
        <f>IFERROR(J103/(E103+F103),0)</f>
        <v>0</v>
      </c>
      <c r="L103" s="6">
        <f>IFERROR(K103-SUMIFS($K$4:K103,$B$4:B103,B103,$C$4:C103,C103,$A$4:A103,EDATE(A103,-1)),K103)</f>
        <v>0</v>
      </c>
      <c r="M103" s="6">
        <f>IFERROR((I103+SUMIFS($G$4:G103,$B$4:B103,B103,$C$4:C103,C103,$A$4:A103,"&lt;="&amp;A103)+SUMIFS($H$4:H103,$B$4:B103,B103,$C$4:C103,C103,$A$4:A103,"&lt;="&amp;A103)-SUMIFS($F$4:F103,$B$4:B103,B103,$C$4:C103,C103,$A$4:A103,"&lt;="&amp;A103))/SUMIFS($F$4:F103,$B$4:B103,B103,$C$4:C103,C103,$A$4:A103,"&lt;="&amp;A103),0)</f>
        <v>0</v>
      </c>
      <c r="N103" s="8"/>
    </row>
    <row r="104" spans="1:14">
      <c r="A104" s="13">
        <v>46508</v>
      </c>
      <c r="B104" t="s">
        <v>26</v>
      </c>
      <c r="C104" t="s">
        <v>19</v>
      </c>
      <c r="D104" t="s">
        <v>27</v>
      </c>
      <c r="E104" s="7"/>
      <c r="F104" s="7"/>
      <c r="G104" s="7"/>
      <c r="H104" s="7"/>
      <c r="I104" s="7"/>
      <c r="J104" s="4">
        <f>IFERROR(I104-E104-F104+G104+H104,0)</f>
        <v>0</v>
      </c>
      <c r="K104" s="6">
        <f>IFERROR(J104/(E104+F104),0)</f>
        <v>0</v>
      </c>
      <c r="L104" s="6">
        <f>IFERROR(K104-SUMIFS($K$4:K104,$B$4:B104,B104,$C$4:C104,C104,$A$4:A104,EDATE(A104,-1)),K104)</f>
        <v>0</v>
      </c>
      <c r="M104" s="6">
        <f>IFERROR((I104+SUMIFS($G$4:G104,$B$4:B104,B104,$C$4:C104,C104,$A$4:A104,"&lt;="&amp;A104)+SUMIFS($H$4:H104,$B$4:B104,B104,$C$4:C104,C104,$A$4:A104,"&lt;="&amp;A104)-SUMIFS($F$4:F104,$B$4:B104,B104,$C$4:C104,C104,$A$4:A104,"&lt;="&amp;A104))/SUMIFS($F$4:F104,$B$4:B104,B104,$C$4:C104,C104,$A$4:A104,"&lt;="&amp;A104),0)</f>
        <v>0</v>
      </c>
      <c r="N104" s="8"/>
    </row>
    <row r="105" spans="1:14">
      <c r="A105" s="13">
        <v>46508</v>
      </c>
      <c r="B105" t="s">
        <v>26</v>
      </c>
      <c r="C105" t="s">
        <v>23</v>
      </c>
      <c r="D105" t="s">
        <v>28</v>
      </c>
      <c r="E105" s="7"/>
      <c r="F105" s="7"/>
      <c r="G105" s="7"/>
      <c r="H105" s="7"/>
      <c r="I105" s="7"/>
      <c r="J105" s="4">
        <f>IFERROR(I105-E105-F105+G105+H105,0)</f>
        <v>0</v>
      </c>
      <c r="K105" s="6">
        <f>IFERROR(J105/(E105+F105),0)</f>
        <v>0</v>
      </c>
      <c r="L105" s="6">
        <f>IFERROR(K105-SUMIFS($K$4:K105,$B$4:B105,B105,$C$4:C105,C105,$A$4:A105,EDATE(A105,-1)),K105)</f>
        <v>0</v>
      </c>
      <c r="M105" s="6">
        <f>IFERROR((I105+SUMIFS($G$4:G105,$B$4:B105,B105,$C$4:C105,C105,$A$4:A105,"&lt;="&amp;A105)+SUMIFS($H$4:H105,$B$4:B105,B105,$C$4:C105,C105,$A$4:A105,"&lt;="&amp;A105)-SUMIFS($F$4:F105,$B$4:B105,B105,$C$4:C105,C105,$A$4:A105,"&lt;="&amp;A105))/SUMIFS($F$4:F105,$B$4:B105,B105,$C$4:C105,C105,$A$4:A105,"&lt;="&amp;A105),0)</f>
        <v>0</v>
      </c>
      <c r="N105" s="8"/>
    </row>
    <row r="106" spans="1:14">
      <c r="A106" s="13">
        <v>46508</v>
      </c>
      <c r="B106" t="s">
        <v>29</v>
      </c>
      <c r="C106" t="s">
        <v>19</v>
      </c>
      <c r="D106" t="s">
        <v>30</v>
      </c>
      <c r="E106" s="7"/>
      <c r="F106" s="7"/>
      <c r="G106" s="7"/>
      <c r="H106" s="7"/>
      <c r="I106" s="7"/>
      <c r="J106" s="4">
        <f>IFERROR(I106-E106-F106+G106+H106,0)</f>
        <v>0</v>
      </c>
      <c r="K106" s="6">
        <f>IFERROR(J106/(E106+F106),0)</f>
        <v>0</v>
      </c>
      <c r="L106" s="6">
        <f>IFERROR(K106-SUMIFS($K$4:K106,$B$4:B106,B106,$C$4:C106,C106,$A$4:A106,EDATE(A106,-1)),K106)</f>
        <v>0</v>
      </c>
      <c r="M106" s="6">
        <f>IFERROR((I106+SUMIFS($G$4:G106,$B$4:B106,B106,$C$4:C106,C106,$A$4:A106,"&lt;="&amp;A106)+SUMIFS($H$4:H106,$B$4:B106,B106,$C$4:C106,C106,$A$4:A106,"&lt;="&amp;A106)-SUMIFS($F$4:F106,$B$4:B106,B106,$C$4:C106,C106,$A$4:A106,"&lt;="&amp;A106))/SUMIFS($F$4:F106,$B$4:B106,B106,$C$4:C106,C106,$A$4:A106,"&lt;="&amp;A106),0)</f>
        <v>0</v>
      </c>
      <c r="N106" s="8"/>
    </row>
    <row r="107" spans="1:14">
      <c r="A107" s="13">
        <v>46508</v>
      </c>
      <c r="B107" t="s">
        <v>29</v>
      </c>
      <c r="C107" t="s">
        <v>23</v>
      </c>
      <c r="D107" t="s">
        <v>31</v>
      </c>
      <c r="E107" s="7"/>
      <c r="F107" s="7"/>
      <c r="G107" s="7"/>
      <c r="H107" s="7"/>
      <c r="I107" s="7"/>
      <c r="J107" s="4">
        <f>IFERROR(I107-E107-F107+G107+H107,0)</f>
        <v>0</v>
      </c>
      <c r="K107" s="6">
        <f>IFERROR(J107/(E107+F107),0)</f>
        <v>0</v>
      </c>
      <c r="L107" s="6">
        <f>IFERROR(K107-SUMIFS($K$4:K107,$B$4:B107,B107,$C$4:C107,C107,$A$4:A107,EDATE(A107,-1)),K107)</f>
        <v>0</v>
      </c>
      <c r="M107" s="6">
        <f>IFERROR((I107+SUMIFS($G$4:G107,$B$4:B107,B107,$C$4:C107,C107,$A$4:A107,"&lt;="&amp;A107)+SUMIFS($H$4:H107,$B$4:B107,B107,$C$4:C107,C107,$A$4:A107,"&lt;="&amp;A107)-SUMIFS($F$4:F107,$B$4:B107,B107,$C$4:C107,C107,$A$4:A107,"&lt;="&amp;A107))/SUMIFS($F$4:F107,$B$4:B107,B107,$C$4:C107,C107,$A$4:A107,"&lt;="&amp;A107),0)</f>
        <v>0</v>
      </c>
      <c r="N107" s="8"/>
    </row>
    <row r="108" spans="1:14">
      <c r="A108" s="13">
        <v>46508</v>
      </c>
      <c r="B108" t="s">
        <v>32</v>
      </c>
      <c r="C108" t="s">
        <v>19</v>
      </c>
      <c r="D108" t="s">
        <v>33</v>
      </c>
      <c r="E108" s="7"/>
      <c r="F108" s="7"/>
      <c r="G108" s="7"/>
      <c r="H108" s="7"/>
      <c r="I108" s="7"/>
      <c r="J108" s="4">
        <f>IFERROR(I108-E108-F108+G108+H108,0)</f>
        <v>0</v>
      </c>
      <c r="K108" s="6">
        <f>IFERROR(J108/(E108+F108),0)</f>
        <v>0</v>
      </c>
      <c r="L108" s="6">
        <f>IFERROR(K108-SUMIFS($K$4:K108,$B$4:B108,B108,$C$4:C108,C108,$A$4:A108,EDATE(A108,-1)),K108)</f>
        <v>0</v>
      </c>
      <c r="M108" s="6">
        <f>IFERROR((I108+SUMIFS($G$4:G108,$B$4:B108,B108,$C$4:C108,C108,$A$4:A108,"&lt;="&amp;A108)+SUMIFS($H$4:H108,$B$4:B108,B108,$C$4:C108,C108,$A$4:A108,"&lt;="&amp;A108)-SUMIFS($F$4:F108,$B$4:B108,B108,$C$4:C108,C108,$A$4:A108,"&lt;="&amp;A108))/SUMIFS($F$4:F108,$B$4:B108,B108,$C$4:C108,C108,$A$4:A108,"&lt;="&amp;A108),0)</f>
        <v>0</v>
      </c>
      <c r="N108" s="8"/>
    </row>
    <row r="109" spans="1:14">
      <c r="A109" s="13">
        <v>46508</v>
      </c>
      <c r="B109" t="s">
        <v>32</v>
      </c>
      <c r="C109" t="s">
        <v>23</v>
      </c>
      <c r="D109" t="s">
        <v>34</v>
      </c>
      <c r="E109" s="7"/>
      <c r="F109" s="7"/>
      <c r="G109" s="7"/>
      <c r="H109" s="7"/>
      <c r="I109" s="7"/>
      <c r="J109" s="4">
        <f>IFERROR(I109-E109-F109+G109+H109,0)</f>
        <v>0</v>
      </c>
      <c r="K109" s="6">
        <f>IFERROR(J109/(E109+F109),0)</f>
        <v>0</v>
      </c>
      <c r="L109" s="6">
        <f>IFERROR(K109-SUMIFS($K$4:K109,$B$4:B109,B109,$C$4:C109,C109,$A$4:A109,EDATE(A109,-1)),K109)</f>
        <v>0</v>
      </c>
      <c r="M109" s="6">
        <f>IFERROR((I109+SUMIFS($G$4:G109,$B$4:B109,B109,$C$4:C109,C109,$A$4:A109,"&lt;="&amp;A109)+SUMIFS($H$4:H109,$B$4:B109,B109,$C$4:C109,C109,$A$4:A109,"&lt;="&amp;A109)-SUMIFS($F$4:F109,$B$4:B109,B109,$C$4:C109,C109,$A$4:A109,"&lt;="&amp;A109))/SUMIFS($F$4:F109,$B$4:B109,B109,$C$4:C109,C109,$A$4:A109,"&lt;="&amp;A109),0)</f>
        <v>0</v>
      </c>
      <c r="N109" s="8"/>
    </row>
    <row r="110" spans="1:14">
      <c r="A110" s="13">
        <v>46508</v>
      </c>
      <c r="B110" t="s">
        <v>35</v>
      </c>
      <c r="C110" t="s">
        <v>19</v>
      </c>
      <c r="D110" t="s">
        <v>36</v>
      </c>
      <c r="E110" s="7"/>
      <c r="F110" s="7"/>
      <c r="G110" s="7"/>
      <c r="H110" s="7"/>
      <c r="I110" s="7"/>
      <c r="J110" s="4">
        <f>IFERROR(I110-E110-F110+G110+H110,0)</f>
        <v>0</v>
      </c>
      <c r="K110" s="6">
        <f>IFERROR(J110/(E110+F110),0)</f>
        <v>0</v>
      </c>
      <c r="L110" s="6">
        <f>IFERROR(K110-SUMIFS($K$4:K110,$B$4:B110,B110,$C$4:C110,C110,$A$4:A110,EDATE(A110,-1)),K110)</f>
        <v>0</v>
      </c>
      <c r="M110" s="6">
        <f>IFERROR((I110+SUMIFS($G$4:G110,$B$4:B110,B110,$C$4:C110,C110,$A$4:A110,"&lt;="&amp;A110)+SUMIFS($H$4:H110,$B$4:B110,B110,$C$4:C110,C110,$A$4:A110,"&lt;="&amp;A110)-SUMIFS($F$4:F110,$B$4:B110,B110,$C$4:C110,C110,$A$4:A110,"&lt;="&amp;A110))/SUMIFS($F$4:F110,$B$4:B110,B110,$C$4:C110,C110,$A$4:A110,"&lt;="&amp;A110),0)</f>
        <v>0</v>
      </c>
      <c r="N110" s="8"/>
    </row>
    <row r="111" spans="1:14">
      <c r="A111" s="13">
        <v>46508</v>
      </c>
      <c r="B111" t="s">
        <v>35</v>
      </c>
      <c r="C111" t="s">
        <v>23</v>
      </c>
      <c r="D111" t="s">
        <v>37</v>
      </c>
      <c r="E111" s="7"/>
      <c r="F111" s="7"/>
      <c r="G111" s="7"/>
      <c r="H111" s="7"/>
      <c r="I111" s="7"/>
      <c r="J111" s="4">
        <f>IFERROR(I111-E111-F111+G111+H111,0)</f>
        <v>0</v>
      </c>
      <c r="K111" s="6">
        <f>IFERROR(J111/(E111+F111),0)</f>
        <v>0</v>
      </c>
      <c r="L111" s="6">
        <f>IFERROR(K111-SUMIFS($K$4:K111,$B$4:B111,B111,$C$4:C111,C111,$A$4:A111,EDATE(A111,-1)),K111)</f>
        <v>0</v>
      </c>
      <c r="M111" s="6">
        <f>IFERROR((I111+SUMIFS($G$4:G111,$B$4:B111,B111,$C$4:C111,C111,$A$4:A111,"&lt;="&amp;A111)+SUMIFS($H$4:H111,$B$4:B111,B111,$C$4:C111,C111,$A$4:A111,"&lt;="&amp;A111)-SUMIFS($F$4:F111,$B$4:B111,B111,$C$4:C111,C111,$A$4:A111,"&lt;="&amp;A111))/SUMIFS($F$4:F111,$B$4:B111,B111,$C$4:C111,C111,$A$4:A111,"&lt;="&amp;A111),0)</f>
        <v>0</v>
      </c>
      <c r="N111" s="8"/>
    </row>
    <row r="112" spans="1:14">
      <c r="A112" s="13">
        <v>46508</v>
      </c>
      <c r="B112" t="s">
        <v>38</v>
      </c>
      <c r="C112" t="s">
        <v>19</v>
      </c>
      <c r="D112" t="s">
        <v>39</v>
      </c>
      <c r="E112" s="7"/>
      <c r="F112" s="7"/>
      <c r="G112" s="7"/>
      <c r="H112" s="7"/>
      <c r="I112" s="7"/>
      <c r="J112" s="4">
        <f>IFERROR(I112-E112-F112+G112+H112,0)</f>
        <v>0</v>
      </c>
      <c r="K112" s="6">
        <f>IFERROR(J112/(E112+F112),0)</f>
        <v>0</v>
      </c>
      <c r="L112" s="6">
        <f>IFERROR(K112-SUMIFS($K$4:K112,$B$4:B112,B112,$C$4:C112,C112,$A$4:A112,EDATE(A112,-1)),K112)</f>
        <v>0</v>
      </c>
      <c r="M112" s="6">
        <f>IFERROR((I112+SUMIFS($G$4:G112,$B$4:B112,B112,$C$4:C112,C112,$A$4:A112,"&lt;="&amp;A112)+SUMIFS($H$4:H112,$B$4:B112,B112,$C$4:C112,C112,$A$4:A112,"&lt;="&amp;A112)-SUMIFS($F$4:F112,$B$4:B112,B112,$C$4:C112,C112,$A$4:A112,"&lt;="&amp;A112))/SUMIFS($F$4:F112,$B$4:B112,B112,$C$4:C112,C112,$A$4:A112,"&lt;="&amp;A112),0)</f>
        <v>0</v>
      </c>
      <c r="N112" s="8"/>
    </row>
    <row r="113" spans="1:14">
      <c r="A113" s="13">
        <v>46508</v>
      </c>
      <c r="B113" t="s">
        <v>38</v>
      </c>
      <c r="C113" t="s">
        <v>23</v>
      </c>
      <c r="D113" t="s">
        <v>40</v>
      </c>
      <c r="E113" s="7"/>
      <c r="F113" s="7"/>
      <c r="G113" s="7"/>
      <c r="H113" s="7"/>
      <c r="I113" s="7"/>
      <c r="J113" s="4">
        <f>IFERROR(I113-E113-F113+G113+H113,0)</f>
        <v>0</v>
      </c>
      <c r="K113" s="6">
        <f>IFERROR(J113/(E113+F113),0)</f>
        <v>0</v>
      </c>
      <c r="L113" s="6">
        <f>IFERROR(K113-SUMIFS($K$4:K113,$B$4:B113,B113,$C$4:C113,C113,$A$4:A113,EDATE(A113,-1)),K113)</f>
        <v>0</v>
      </c>
      <c r="M113" s="6">
        <f>IFERROR((I113+SUMIFS($G$4:G113,$B$4:B113,B113,$C$4:C113,C113,$A$4:A113,"&lt;="&amp;A113)+SUMIFS($H$4:H113,$B$4:B113,B113,$C$4:C113,C113,$A$4:A113,"&lt;="&amp;A113)-SUMIFS($F$4:F113,$B$4:B113,B113,$C$4:C113,C113,$A$4:A113,"&lt;="&amp;A113))/SUMIFS($F$4:F113,$B$4:B113,B113,$C$4:C113,C113,$A$4:A113,"&lt;="&amp;A113),0)</f>
        <v>0</v>
      </c>
      <c r="N113" s="8"/>
    </row>
    <row r="114" spans="1:14">
      <c r="A114" s="13">
        <v>46508</v>
      </c>
      <c r="B114" t="s">
        <v>41</v>
      </c>
      <c r="C114" t="s">
        <v>19</v>
      </c>
      <c r="D114" t="s">
        <v>42</v>
      </c>
      <c r="E114" s="7"/>
      <c r="F114" s="7"/>
      <c r="G114" s="7"/>
      <c r="H114" s="7"/>
      <c r="I114" s="7"/>
      <c r="J114" s="4">
        <f>IFERROR(I114-E114-F114+G114+H114,0)</f>
        <v>0</v>
      </c>
      <c r="K114" s="6">
        <f>IFERROR(J114/(E114+F114),0)</f>
        <v>0</v>
      </c>
      <c r="L114" s="6">
        <f>IFERROR(K114-SUMIFS($K$4:K114,$B$4:B114,B114,$C$4:C114,C114,$A$4:A114,EDATE(A114,-1)),K114)</f>
        <v>0</v>
      </c>
      <c r="M114" s="6">
        <f>IFERROR((I114+SUMIFS($G$4:G114,$B$4:B114,B114,$C$4:C114,C114,$A$4:A114,"&lt;="&amp;A114)+SUMIFS($H$4:H114,$B$4:B114,B114,$C$4:C114,C114,$A$4:A114,"&lt;="&amp;A114)-SUMIFS($F$4:F114,$B$4:B114,B114,$C$4:C114,C114,$A$4:A114,"&lt;="&amp;A114))/SUMIFS($F$4:F114,$B$4:B114,B114,$C$4:C114,C114,$A$4:A114,"&lt;="&amp;A114),0)</f>
        <v>0</v>
      </c>
      <c r="N114" s="8"/>
    </row>
    <row r="115" spans="1:14">
      <c r="A115" s="13">
        <v>46508</v>
      </c>
      <c r="B115" t="s">
        <v>41</v>
      </c>
      <c r="C115" t="s">
        <v>23</v>
      </c>
      <c r="D115" t="s">
        <v>43</v>
      </c>
      <c r="E115" s="7"/>
      <c r="F115" s="7"/>
      <c r="G115" s="7"/>
      <c r="H115" s="7"/>
      <c r="I115" s="7"/>
      <c r="J115" s="4">
        <f>IFERROR(I115-E115-F115+G115+H115,0)</f>
        <v>0</v>
      </c>
      <c r="K115" s="6">
        <f>IFERROR(J115/(E115+F115),0)</f>
        <v>0</v>
      </c>
      <c r="L115" s="6">
        <f>IFERROR(K115-SUMIFS($K$4:K115,$B$4:B115,B115,$C$4:C115,C115,$A$4:A115,EDATE(A115,-1)),K115)</f>
        <v>0</v>
      </c>
      <c r="M115" s="6">
        <f>IFERROR((I115+SUMIFS($G$4:G115,$B$4:B115,B115,$C$4:C115,C115,$A$4:A115,"&lt;="&amp;A115)+SUMIFS($H$4:H115,$B$4:B115,B115,$C$4:C115,C115,$A$4:A115,"&lt;="&amp;A115)-SUMIFS($F$4:F115,$B$4:B115,B115,$C$4:C115,C115,$A$4:A115,"&lt;="&amp;A115))/SUMIFS($F$4:F115,$B$4:B115,B115,$C$4:C115,C115,$A$4:A115,"&lt;="&amp;A115),0)</f>
        <v>0</v>
      </c>
      <c r="N115" s="8"/>
    </row>
    <row r="116" spans="1:14">
      <c r="A116" s="13">
        <v>46539</v>
      </c>
      <c r="B116" t="s">
        <v>18</v>
      </c>
      <c r="C116" t="s">
        <v>19</v>
      </c>
      <c r="D116" t="s">
        <v>21</v>
      </c>
      <c r="E116" s="7"/>
      <c r="F116" s="7"/>
      <c r="G116" s="7"/>
      <c r="H116" s="7"/>
      <c r="I116" s="7"/>
      <c r="J116" s="4">
        <f>IFERROR(I116-E116-F116+G116+H116,0)</f>
        <v>0</v>
      </c>
      <c r="K116" s="6">
        <f>IFERROR(J116/(E116+F116),0)</f>
        <v>0</v>
      </c>
      <c r="L116" s="6">
        <f>IFERROR(K116-SUMIFS($K$4:K116,$B$4:B116,B116,$C$4:C116,C116,$A$4:A116,EDATE(A116,-1)),K116)</f>
        <v>0</v>
      </c>
      <c r="M116" s="6">
        <f>IFERROR((I116+SUMIFS($G$4:G116,$B$4:B116,B116,$C$4:C116,C116,$A$4:A116,"&lt;="&amp;A116)+SUMIFS($H$4:H116,$B$4:B116,B116,$C$4:C116,C116,$A$4:A116,"&lt;="&amp;A116)-SUMIFS($F$4:F116,$B$4:B116,B116,$C$4:C116,C116,$A$4:A116,"&lt;="&amp;A116))/SUMIFS($F$4:F116,$B$4:B116,B116,$C$4:C116,C116,$A$4:A116,"&lt;="&amp;A116),0)</f>
        <v>0</v>
      </c>
      <c r="N116" s="8"/>
    </row>
    <row r="117" spans="1:14">
      <c r="A117" s="13">
        <v>46539</v>
      </c>
      <c r="B117" t="s">
        <v>18</v>
      </c>
      <c r="C117" t="s">
        <v>23</v>
      </c>
      <c r="D117" t="s">
        <v>24</v>
      </c>
      <c r="E117" s="7"/>
      <c r="F117" s="7"/>
      <c r="G117" s="7"/>
      <c r="H117" s="7"/>
      <c r="I117" s="7"/>
      <c r="J117" s="4">
        <f>IFERROR(I117-E117-F117+G117+H117,0)</f>
        <v>0</v>
      </c>
      <c r="K117" s="6">
        <f>IFERROR(J117/(E117+F117),0)</f>
        <v>0</v>
      </c>
      <c r="L117" s="6">
        <f>IFERROR(K117-SUMIFS($K$4:K117,$B$4:B117,B117,$C$4:C117,C117,$A$4:A117,EDATE(A117,-1)),K117)</f>
        <v>0</v>
      </c>
      <c r="M117" s="6">
        <f>IFERROR((I117+SUMIFS($G$4:G117,$B$4:B117,B117,$C$4:C117,C117,$A$4:A117,"&lt;="&amp;A117)+SUMIFS($H$4:H117,$B$4:B117,B117,$C$4:C117,C117,$A$4:A117,"&lt;="&amp;A117)-SUMIFS($F$4:F117,$B$4:B117,B117,$C$4:C117,C117,$A$4:A117,"&lt;="&amp;A117))/SUMIFS($F$4:F117,$B$4:B117,B117,$C$4:C117,C117,$A$4:A117,"&lt;="&amp;A117),0)</f>
        <v>0</v>
      </c>
      <c r="N117" s="8"/>
    </row>
    <row r="118" spans="1:14">
      <c r="A118" s="13">
        <v>46539</v>
      </c>
      <c r="B118" t="s">
        <v>26</v>
      </c>
      <c r="C118" t="s">
        <v>19</v>
      </c>
      <c r="D118" t="s">
        <v>27</v>
      </c>
      <c r="E118" s="7"/>
      <c r="F118" s="7"/>
      <c r="G118" s="7"/>
      <c r="H118" s="7"/>
      <c r="I118" s="7"/>
      <c r="J118" s="4">
        <f>IFERROR(I118-E118-F118+G118+H118,0)</f>
        <v>0</v>
      </c>
      <c r="K118" s="6">
        <f>IFERROR(J118/(E118+F118),0)</f>
        <v>0</v>
      </c>
      <c r="L118" s="6">
        <f>IFERROR(K118-SUMIFS($K$4:K118,$B$4:B118,B118,$C$4:C118,C118,$A$4:A118,EDATE(A118,-1)),K118)</f>
        <v>0</v>
      </c>
      <c r="M118" s="6">
        <f>IFERROR((I118+SUMIFS($G$4:G118,$B$4:B118,B118,$C$4:C118,C118,$A$4:A118,"&lt;="&amp;A118)+SUMIFS($H$4:H118,$B$4:B118,B118,$C$4:C118,C118,$A$4:A118,"&lt;="&amp;A118)-SUMIFS($F$4:F118,$B$4:B118,B118,$C$4:C118,C118,$A$4:A118,"&lt;="&amp;A118))/SUMIFS($F$4:F118,$B$4:B118,B118,$C$4:C118,C118,$A$4:A118,"&lt;="&amp;A118),0)</f>
        <v>0</v>
      </c>
      <c r="N118" s="8"/>
    </row>
    <row r="119" spans="1:14">
      <c r="A119" s="13">
        <v>46539</v>
      </c>
      <c r="B119" t="s">
        <v>26</v>
      </c>
      <c r="C119" t="s">
        <v>23</v>
      </c>
      <c r="D119" t="s">
        <v>28</v>
      </c>
      <c r="E119" s="7"/>
      <c r="F119" s="7"/>
      <c r="G119" s="7"/>
      <c r="H119" s="7"/>
      <c r="I119" s="7"/>
      <c r="J119" s="4">
        <f>IFERROR(I119-E119-F119+G119+H119,0)</f>
        <v>0</v>
      </c>
      <c r="K119" s="6">
        <f>IFERROR(J119/(E119+F119),0)</f>
        <v>0</v>
      </c>
      <c r="L119" s="6">
        <f>IFERROR(K119-SUMIFS($K$4:K119,$B$4:B119,B119,$C$4:C119,C119,$A$4:A119,EDATE(A119,-1)),K119)</f>
        <v>0</v>
      </c>
      <c r="M119" s="6">
        <f>IFERROR((I119+SUMIFS($G$4:G119,$B$4:B119,B119,$C$4:C119,C119,$A$4:A119,"&lt;="&amp;A119)+SUMIFS($H$4:H119,$B$4:B119,B119,$C$4:C119,C119,$A$4:A119,"&lt;="&amp;A119)-SUMIFS($F$4:F119,$B$4:B119,B119,$C$4:C119,C119,$A$4:A119,"&lt;="&amp;A119))/SUMIFS($F$4:F119,$B$4:B119,B119,$C$4:C119,C119,$A$4:A119,"&lt;="&amp;A119),0)</f>
        <v>0</v>
      </c>
      <c r="N119" s="8"/>
    </row>
    <row r="120" spans="1:14">
      <c r="A120" s="13">
        <v>46539</v>
      </c>
      <c r="B120" t="s">
        <v>29</v>
      </c>
      <c r="C120" t="s">
        <v>19</v>
      </c>
      <c r="D120" t="s">
        <v>30</v>
      </c>
      <c r="E120" s="7"/>
      <c r="F120" s="7"/>
      <c r="G120" s="7"/>
      <c r="H120" s="7"/>
      <c r="I120" s="7"/>
      <c r="J120" s="4">
        <f>IFERROR(I120-E120-F120+G120+H120,0)</f>
        <v>0</v>
      </c>
      <c r="K120" s="6">
        <f>IFERROR(J120/(E120+F120),0)</f>
        <v>0</v>
      </c>
      <c r="L120" s="6">
        <f>IFERROR(K120-SUMIFS($K$4:K120,$B$4:B120,B120,$C$4:C120,C120,$A$4:A120,EDATE(A120,-1)),K120)</f>
        <v>0</v>
      </c>
      <c r="M120" s="6">
        <f>IFERROR((I120+SUMIFS($G$4:G120,$B$4:B120,B120,$C$4:C120,C120,$A$4:A120,"&lt;="&amp;A120)+SUMIFS($H$4:H120,$B$4:B120,B120,$C$4:C120,C120,$A$4:A120,"&lt;="&amp;A120)-SUMIFS($F$4:F120,$B$4:B120,B120,$C$4:C120,C120,$A$4:A120,"&lt;="&amp;A120))/SUMIFS($F$4:F120,$B$4:B120,B120,$C$4:C120,C120,$A$4:A120,"&lt;="&amp;A120),0)</f>
        <v>0</v>
      </c>
      <c r="N120" s="8"/>
    </row>
    <row r="121" spans="1:14">
      <c r="A121" s="13">
        <v>46539</v>
      </c>
      <c r="B121" t="s">
        <v>29</v>
      </c>
      <c r="C121" t="s">
        <v>23</v>
      </c>
      <c r="D121" t="s">
        <v>31</v>
      </c>
      <c r="E121" s="7"/>
      <c r="F121" s="7"/>
      <c r="G121" s="7"/>
      <c r="H121" s="7"/>
      <c r="I121" s="7"/>
      <c r="J121" s="4">
        <f>IFERROR(I121-E121-F121+G121+H121,0)</f>
        <v>0</v>
      </c>
      <c r="K121" s="6">
        <f>IFERROR(J121/(E121+F121),0)</f>
        <v>0</v>
      </c>
      <c r="L121" s="6">
        <f>IFERROR(K121-SUMIFS($K$4:K121,$B$4:B121,B121,$C$4:C121,C121,$A$4:A121,EDATE(A121,-1)),K121)</f>
        <v>0</v>
      </c>
      <c r="M121" s="6">
        <f>IFERROR((I121+SUMIFS($G$4:G121,$B$4:B121,B121,$C$4:C121,C121,$A$4:A121,"&lt;="&amp;A121)+SUMIFS($H$4:H121,$B$4:B121,B121,$C$4:C121,C121,$A$4:A121,"&lt;="&amp;A121)-SUMIFS($F$4:F121,$B$4:B121,B121,$C$4:C121,C121,$A$4:A121,"&lt;="&amp;A121))/SUMIFS($F$4:F121,$B$4:B121,B121,$C$4:C121,C121,$A$4:A121,"&lt;="&amp;A121),0)</f>
        <v>0</v>
      </c>
      <c r="N121" s="8"/>
    </row>
    <row r="122" spans="1:14">
      <c r="A122" s="13">
        <v>46539</v>
      </c>
      <c r="B122" t="s">
        <v>32</v>
      </c>
      <c r="C122" t="s">
        <v>19</v>
      </c>
      <c r="D122" t="s">
        <v>33</v>
      </c>
      <c r="E122" s="7"/>
      <c r="F122" s="7"/>
      <c r="G122" s="7"/>
      <c r="H122" s="7"/>
      <c r="I122" s="7"/>
      <c r="J122" s="4">
        <f>IFERROR(I122-E122-F122+G122+H122,0)</f>
        <v>0</v>
      </c>
      <c r="K122" s="6">
        <f>IFERROR(J122/(E122+F122),0)</f>
        <v>0</v>
      </c>
      <c r="L122" s="6">
        <f>IFERROR(K122-SUMIFS($K$4:K122,$B$4:B122,B122,$C$4:C122,C122,$A$4:A122,EDATE(A122,-1)),K122)</f>
        <v>0</v>
      </c>
      <c r="M122" s="6">
        <f>IFERROR((I122+SUMIFS($G$4:G122,$B$4:B122,B122,$C$4:C122,C122,$A$4:A122,"&lt;="&amp;A122)+SUMIFS($H$4:H122,$B$4:B122,B122,$C$4:C122,C122,$A$4:A122,"&lt;="&amp;A122)-SUMIFS($F$4:F122,$B$4:B122,B122,$C$4:C122,C122,$A$4:A122,"&lt;="&amp;A122))/SUMIFS($F$4:F122,$B$4:B122,B122,$C$4:C122,C122,$A$4:A122,"&lt;="&amp;A122),0)</f>
        <v>0</v>
      </c>
      <c r="N122" s="8"/>
    </row>
    <row r="123" spans="1:14">
      <c r="A123" s="13">
        <v>46539</v>
      </c>
      <c r="B123" t="s">
        <v>32</v>
      </c>
      <c r="C123" t="s">
        <v>23</v>
      </c>
      <c r="D123" t="s">
        <v>34</v>
      </c>
      <c r="E123" s="7"/>
      <c r="F123" s="7"/>
      <c r="G123" s="7"/>
      <c r="H123" s="7"/>
      <c r="I123" s="7"/>
      <c r="J123" s="4">
        <f>IFERROR(I123-E123-F123+G123+H123,0)</f>
        <v>0</v>
      </c>
      <c r="K123" s="6">
        <f>IFERROR(J123/(E123+F123),0)</f>
        <v>0</v>
      </c>
      <c r="L123" s="6">
        <f>IFERROR(K123-SUMIFS($K$4:K123,$B$4:B123,B123,$C$4:C123,C123,$A$4:A123,EDATE(A123,-1)),K123)</f>
        <v>0</v>
      </c>
      <c r="M123" s="6">
        <f>IFERROR((I123+SUMIFS($G$4:G123,$B$4:B123,B123,$C$4:C123,C123,$A$4:A123,"&lt;="&amp;A123)+SUMIFS($H$4:H123,$B$4:B123,B123,$C$4:C123,C123,$A$4:A123,"&lt;="&amp;A123)-SUMIFS($F$4:F123,$B$4:B123,B123,$C$4:C123,C123,$A$4:A123,"&lt;="&amp;A123))/SUMIFS($F$4:F123,$B$4:B123,B123,$C$4:C123,C123,$A$4:A123,"&lt;="&amp;A123),0)</f>
        <v>0</v>
      </c>
      <c r="N123" s="8"/>
    </row>
    <row r="124" spans="1:14">
      <c r="A124" s="13">
        <v>46539</v>
      </c>
      <c r="B124" t="s">
        <v>35</v>
      </c>
      <c r="C124" t="s">
        <v>19</v>
      </c>
      <c r="D124" t="s">
        <v>36</v>
      </c>
      <c r="E124" s="7"/>
      <c r="F124" s="7"/>
      <c r="G124" s="7"/>
      <c r="H124" s="7"/>
      <c r="I124" s="7"/>
      <c r="J124" s="4">
        <f>IFERROR(I124-E124-F124+G124+H124,0)</f>
        <v>0</v>
      </c>
      <c r="K124" s="6">
        <f>IFERROR(J124/(E124+F124),0)</f>
        <v>0</v>
      </c>
      <c r="L124" s="6">
        <f>IFERROR(K124-SUMIFS($K$4:K124,$B$4:B124,B124,$C$4:C124,C124,$A$4:A124,EDATE(A124,-1)),K124)</f>
        <v>0</v>
      </c>
      <c r="M124" s="6">
        <f>IFERROR((I124+SUMIFS($G$4:G124,$B$4:B124,B124,$C$4:C124,C124,$A$4:A124,"&lt;="&amp;A124)+SUMIFS($H$4:H124,$B$4:B124,B124,$C$4:C124,C124,$A$4:A124,"&lt;="&amp;A124)-SUMIFS($F$4:F124,$B$4:B124,B124,$C$4:C124,C124,$A$4:A124,"&lt;="&amp;A124))/SUMIFS($F$4:F124,$B$4:B124,B124,$C$4:C124,C124,$A$4:A124,"&lt;="&amp;A124),0)</f>
        <v>0</v>
      </c>
      <c r="N124" s="8"/>
    </row>
    <row r="125" spans="1:14">
      <c r="A125" s="13">
        <v>46539</v>
      </c>
      <c r="B125" t="s">
        <v>35</v>
      </c>
      <c r="C125" t="s">
        <v>23</v>
      </c>
      <c r="D125" t="s">
        <v>37</v>
      </c>
      <c r="E125" s="7"/>
      <c r="F125" s="7"/>
      <c r="G125" s="7"/>
      <c r="H125" s="7"/>
      <c r="I125" s="7"/>
      <c r="J125" s="4">
        <f>IFERROR(I125-E125-F125+G125+H125,0)</f>
        <v>0</v>
      </c>
      <c r="K125" s="6">
        <f>IFERROR(J125/(E125+F125),0)</f>
        <v>0</v>
      </c>
      <c r="L125" s="6">
        <f>IFERROR(K125-SUMIFS($K$4:K125,$B$4:B125,B125,$C$4:C125,C125,$A$4:A125,EDATE(A125,-1)),K125)</f>
        <v>0</v>
      </c>
      <c r="M125" s="6">
        <f>IFERROR((I125+SUMIFS($G$4:G125,$B$4:B125,B125,$C$4:C125,C125,$A$4:A125,"&lt;="&amp;A125)+SUMIFS($H$4:H125,$B$4:B125,B125,$C$4:C125,C125,$A$4:A125,"&lt;="&amp;A125)-SUMIFS($F$4:F125,$B$4:B125,B125,$C$4:C125,C125,$A$4:A125,"&lt;="&amp;A125))/SUMIFS($F$4:F125,$B$4:B125,B125,$C$4:C125,C125,$A$4:A125,"&lt;="&amp;A125),0)</f>
        <v>0</v>
      </c>
      <c r="N125" s="8"/>
    </row>
    <row r="126" spans="1:14">
      <c r="A126" s="13">
        <v>46539</v>
      </c>
      <c r="B126" t="s">
        <v>38</v>
      </c>
      <c r="C126" t="s">
        <v>19</v>
      </c>
      <c r="D126" t="s">
        <v>39</v>
      </c>
      <c r="E126" s="7"/>
      <c r="F126" s="7"/>
      <c r="G126" s="7"/>
      <c r="H126" s="7"/>
      <c r="I126" s="7"/>
      <c r="J126" s="4">
        <f>IFERROR(I126-E126-F126+G126+H126,0)</f>
        <v>0</v>
      </c>
      <c r="K126" s="6">
        <f>IFERROR(J126/(E126+F126),0)</f>
        <v>0</v>
      </c>
      <c r="L126" s="6">
        <f>IFERROR(K126-SUMIFS($K$4:K126,$B$4:B126,B126,$C$4:C126,C126,$A$4:A126,EDATE(A126,-1)),K126)</f>
        <v>0</v>
      </c>
      <c r="M126" s="6">
        <f>IFERROR((I126+SUMIFS($G$4:G126,$B$4:B126,B126,$C$4:C126,C126,$A$4:A126,"&lt;="&amp;A126)+SUMIFS($H$4:H126,$B$4:B126,B126,$C$4:C126,C126,$A$4:A126,"&lt;="&amp;A126)-SUMIFS($F$4:F126,$B$4:B126,B126,$C$4:C126,C126,$A$4:A126,"&lt;="&amp;A126))/SUMIFS($F$4:F126,$B$4:B126,B126,$C$4:C126,C126,$A$4:A126,"&lt;="&amp;A126),0)</f>
        <v>0</v>
      </c>
      <c r="N126" s="8"/>
    </row>
    <row r="127" spans="1:14">
      <c r="A127" s="13">
        <v>46539</v>
      </c>
      <c r="B127" t="s">
        <v>38</v>
      </c>
      <c r="C127" t="s">
        <v>23</v>
      </c>
      <c r="D127" t="s">
        <v>40</v>
      </c>
      <c r="E127" s="7"/>
      <c r="F127" s="7"/>
      <c r="G127" s="7"/>
      <c r="H127" s="7"/>
      <c r="I127" s="7"/>
      <c r="J127" s="4">
        <f>IFERROR(I127-E127-F127+G127+H127,0)</f>
        <v>0</v>
      </c>
      <c r="K127" s="6">
        <f>IFERROR(J127/(E127+F127),0)</f>
        <v>0</v>
      </c>
      <c r="L127" s="6">
        <f>IFERROR(K127-SUMIFS($K$4:K127,$B$4:B127,B127,$C$4:C127,C127,$A$4:A127,EDATE(A127,-1)),K127)</f>
        <v>0</v>
      </c>
      <c r="M127" s="6">
        <f>IFERROR((I127+SUMIFS($G$4:G127,$B$4:B127,B127,$C$4:C127,C127,$A$4:A127,"&lt;="&amp;A127)+SUMIFS($H$4:H127,$B$4:B127,B127,$C$4:C127,C127,$A$4:A127,"&lt;="&amp;A127)-SUMIFS($F$4:F127,$B$4:B127,B127,$C$4:C127,C127,$A$4:A127,"&lt;="&amp;A127))/SUMIFS($F$4:F127,$B$4:B127,B127,$C$4:C127,C127,$A$4:A127,"&lt;="&amp;A127),0)</f>
        <v>0</v>
      </c>
      <c r="N127" s="8"/>
    </row>
    <row r="128" spans="1:14">
      <c r="A128" s="13">
        <v>46539</v>
      </c>
      <c r="B128" t="s">
        <v>41</v>
      </c>
      <c r="C128" t="s">
        <v>19</v>
      </c>
      <c r="D128" t="s">
        <v>42</v>
      </c>
      <c r="E128" s="7"/>
      <c r="F128" s="7"/>
      <c r="G128" s="7"/>
      <c r="H128" s="7"/>
      <c r="I128" s="7"/>
      <c r="J128" s="4">
        <f>IFERROR(I128-E128-F128+G128+H128,0)</f>
        <v>0</v>
      </c>
      <c r="K128" s="6">
        <f>IFERROR(J128/(E128+F128),0)</f>
        <v>0</v>
      </c>
      <c r="L128" s="6">
        <f>IFERROR(K128-SUMIFS($K$4:K128,$B$4:B128,B128,$C$4:C128,C128,$A$4:A128,EDATE(A128,-1)),K128)</f>
        <v>0</v>
      </c>
      <c r="M128" s="6">
        <f>IFERROR((I128+SUMIFS($G$4:G128,$B$4:B128,B128,$C$4:C128,C128,$A$4:A128,"&lt;="&amp;A128)+SUMIFS($H$4:H128,$B$4:B128,B128,$C$4:C128,C128,$A$4:A128,"&lt;="&amp;A128)-SUMIFS($F$4:F128,$B$4:B128,B128,$C$4:C128,C128,$A$4:A128,"&lt;="&amp;A128))/SUMIFS($F$4:F128,$B$4:B128,B128,$C$4:C128,C128,$A$4:A128,"&lt;="&amp;A128),0)</f>
        <v>0</v>
      </c>
      <c r="N128" s="8"/>
    </row>
    <row r="129" spans="1:14">
      <c r="A129" s="13">
        <v>46539</v>
      </c>
      <c r="B129" t="s">
        <v>41</v>
      </c>
      <c r="C129" t="s">
        <v>23</v>
      </c>
      <c r="D129" t="s">
        <v>43</v>
      </c>
      <c r="E129" s="7"/>
      <c r="F129" s="7"/>
      <c r="G129" s="7"/>
      <c r="H129" s="7"/>
      <c r="I129" s="7"/>
      <c r="J129" s="4">
        <f>IFERROR(I129-E129-F129+G129+H129,0)</f>
        <v>0</v>
      </c>
      <c r="K129" s="6">
        <f>IFERROR(J129/(E129+F129),0)</f>
        <v>0</v>
      </c>
      <c r="L129" s="6">
        <f>IFERROR(K129-SUMIFS($K$4:K129,$B$4:B129,B129,$C$4:C129,C129,$A$4:A129,EDATE(A129,-1)),K129)</f>
        <v>0</v>
      </c>
      <c r="M129" s="6">
        <f>IFERROR((I129+SUMIFS($G$4:G129,$B$4:B129,B129,$C$4:C129,C129,$A$4:A129,"&lt;="&amp;A129)+SUMIFS($H$4:H129,$B$4:B129,B129,$C$4:C129,C129,$A$4:A129,"&lt;="&amp;A129)-SUMIFS($F$4:F129,$B$4:B129,B129,$C$4:C129,C129,$A$4:A129,"&lt;="&amp;A129))/SUMIFS($F$4:F129,$B$4:B129,B129,$C$4:C129,C129,$A$4:A129,"&lt;="&amp;A129),0)</f>
        <v>0</v>
      </c>
      <c r="N129" s="8"/>
    </row>
    <row r="130" spans="1:14">
      <c r="A130" s="13">
        <v>46569</v>
      </c>
      <c r="B130" t="s">
        <v>18</v>
      </c>
      <c r="C130" t="s">
        <v>19</v>
      </c>
      <c r="D130" t="s">
        <v>21</v>
      </c>
      <c r="E130" s="7"/>
      <c r="F130" s="7"/>
      <c r="G130" s="7"/>
      <c r="H130" s="7"/>
      <c r="I130" s="7"/>
      <c r="J130" s="4">
        <f>IFERROR(I130-E130-F130+G130+H130,0)</f>
        <v>0</v>
      </c>
      <c r="K130" s="6">
        <f>IFERROR(J130/(E130+F130),0)</f>
        <v>0</v>
      </c>
      <c r="L130" s="6">
        <f>IFERROR(K130-SUMIFS($K$4:K130,$B$4:B130,B130,$C$4:C130,C130,$A$4:A130,EDATE(A130,-1)),K130)</f>
        <v>0</v>
      </c>
      <c r="M130" s="6">
        <f>IFERROR((I130+SUMIFS($G$4:G130,$B$4:B130,B130,$C$4:C130,C130,$A$4:A130,"&lt;="&amp;A130)+SUMIFS($H$4:H130,$B$4:B130,B130,$C$4:C130,C130,$A$4:A130,"&lt;="&amp;A130)-SUMIFS($F$4:F130,$B$4:B130,B130,$C$4:C130,C130,$A$4:A130,"&lt;="&amp;A130))/SUMIFS($F$4:F130,$B$4:B130,B130,$C$4:C130,C130,$A$4:A130,"&lt;="&amp;A130),0)</f>
        <v>0</v>
      </c>
      <c r="N130" s="8"/>
    </row>
    <row r="131" spans="1:14">
      <c r="A131" s="13">
        <v>46569</v>
      </c>
      <c r="B131" t="s">
        <v>18</v>
      </c>
      <c r="C131" t="s">
        <v>23</v>
      </c>
      <c r="D131" t="s">
        <v>24</v>
      </c>
      <c r="E131" s="7"/>
      <c r="F131" s="7"/>
      <c r="G131" s="7"/>
      <c r="H131" s="7"/>
      <c r="I131" s="7"/>
      <c r="J131" s="4">
        <f>IFERROR(I131-E131-F131+G131+H131,0)</f>
        <v>0</v>
      </c>
      <c r="K131" s="6">
        <f>IFERROR(J131/(E131+F131),0)</f>
        <v>0</v>
      </c>
      <c r="L131" s="6">
        <f>IFERROR(K131-SUMIFS($K$4:K131,$B$4:B131,B131,$C$4:C131,C131,$A$4:A131,EDATE(A131,-1)),K131)</f>
        <v>0</v>
      </c>
      <c r="M131" s="6">
        <f>IFERROR((I131+SUMIFS($G$4:G131,$B$4:B131,B131,$C$4:C131,C131,$A$4:A131,"&lt;="&amp;A131)+SUMIFS($H$4:H131,$B$4:B131,B131,$C$4:C131,C131,$A$4:A131,"&lt;="&amp;A131)-SUMIFS($F$4:F131,$B$4:B131,B131,$C$4:C131,C131,$A$4:A131,"&lt;="&amp;A131))/SUMIFS($F$4:F131,$B$4:B131,B131,$C$4:C131,C131,$A$4:A131,"&lt;="&amp;A131),0)</f>
        <v>0</v>
      </c>
      <c r="N131" s="8"/>
    </row>
    <row r="132" spans="1:14">
      <c r="A132" s="13">
        <v>46569</v>
      </c>
      <c r="B132" t="s">
        <v>26</v>
      </c>
      <c r="C132" t="s">
        <v>19</v>
      </c>
      <c r="D132" t="s">
        <v>27</v>
      </c>
      <c r="E132" s="7"/>
      <c r="F132" s="7"/>
      <c r="G132" s="7"/>
      <c r="H132" s="7"/>
      <c r="I132" s="7"/>
      <c r="J132" s="4">
        <f>IFERROR(I132-E132-F132+G132+H132,0)</f>
        <v>0</v>
      </c>
      <c r="K132" s="6">
        <f>IFERROR(J132/(E132+F132),0)</f>
        <v>0</v>
      </c>
      <c r="L132" s="6">
        <f>IFERROR(K132-SUMIFS($K$4:K132,$B$4:B132,B132,$C$4:C132,C132,$A$4:A132,EDATE(A132,-1)),K132)</f>
        <v>0</v>
      </c>
      <c r="M132" s="6">
        <f>IFERROR((I132+SUMIFS($G$4:G132,$B$4:B132,B132,$C$4:C132,C132,$A$4:A132,"&lt;="&amp;A132)+SUMIFS($H$4:H132,$B$4:B132,B132,$C$4:C132,C132,$A$4:A132,"&lt;="&amp;A132)-SUMIFS($F$4:F132,$B$4:B132,B132,$C$4:C132,C132,$A$4:A132,"&lt;="&amp;A132))/SUMIFS($F$4:F132,$B$4:B132,B132,$C$4:C132,C132,$A$4:A132,"&lt;="&amp;A132),0)</f>
        <v>0</v>
      </c>
      <c r="N132" s="8"/>
    </row>
    <row r="133" spans="1:14">
      <c r="A133" s="13">
        <v>46569</v>
      </c>
      <c r="B133" t="s">
        <v>26</v>
      </c>
      <c r="C133" t="s">
        <v>23</v>
      </c>
      <c r="D133" t="s">
        <v>28</v>
      </c>
      <c r="E133" s="7"/>
      <c r="F133" s="7"/>
      <c r="G133" s="7"/>
      <c r="H133" s="7"/>
      <c r="I133" s="7"/>
      <c r="J133" s="4">
        <f>IFERROR(I133-E133-F133+G133+H133,0)</f>
        <v>0</v>
      </c>
      <c r="K133" s="6">
        <f>IFERROR(J133/(E133+F133),0)</f>
        <v>0</v>
      </c>
      <c r="L133" s="6">
        <f>IFERROR(K133-SUMIFS($K$4:K133,$B$4:B133,B133,$C$4:C133,C133,$A$4:A133,EDATE(A133,-1)),K133)</f>
        <v>0</v>
      </c>
      <c r="M133" s="6">
        <f>IFERROR((I133+SUMIFS($G$4:G133,$B$4:B133,B133,$C$4:C133,C133,$A$4:A133,"&lt;="&amp;A133)+SUMIFS($H$4:H133,$B$4:B133,B133,$C$4:C133,C133,$A$4:A133,"&lt;="&amp;A133)-SUMIFS($F$4:F133,$B$4:B133,B133,$C$4:C133,C133,$A$4:A133,"&lt;="&amp;A133))/SUMIFS($F$4:F133,$B$4:B133,B133,$C$4:C133,C133,$A$4:A133,"&lt;="&amp;A133),0)</f>
        <v>0</v>
      </c>
      <c r="N133" s="8"/>
    </row>
    <row r="134" spans="1:14">
      <c r="A134" s="13">
        <v>46569</v>
      </c>
      <c r="B134" t="s">
        <v>29</v>
      </c>
      <c r="C134" t="s">
        <v>19</v>
      </c>
      <c r="D134" t="s">
        <v>30</v>
      </c>
      <c r="E134" s="7"/>
      <c r="F134" s="7"/>
      <c r="G134" s="7"/>
      <c r="H134" s="7"/>
      <c r="I134" s="7"/>
      <c r="J134" s="4">
        <f>IFERROR(I134-E134-F134+G134+H134,0)</f>
        <v>0</v>
      </c>
      <c r="K134" s="6">
        <f>IFERROR(J134/(E134+F134),0)</f>
        <v>0</v>
      </c>
      <c r="L134" s="6">
        <f>IFERROR(K134-SUMIFS($K$4:K134,$B$4:B134,B134,$C$4:C134,C134,$A$4:A134,EDATE(A134,-1)),K134)</f>
        <v>0</v>
      </c>
      <c r="M134" s="6">
        <f>IFERROR((I134+SUMIFS($G$4:G134,$B$4:B134,B134,$C$4:C134,C134,$A$4:A134,"&lt;="&amp;A134)+SUMIFS($H$4:H134,$B$4:B134,B134,$C$4:C134,C134,$A$4:A134,"&lt;="&amp;A134)-SUMIFS($F$4:F134,$B$4:B134,B134,$C$4:C134,C134,$A$4:A134,"&lt;="&amp;A134))/SUMIFS($F$4:F134,$B$4:B134,B134,$C$4:C134,C134,$A$4:A134,"&lt;="&amp;A134),0)</f>
        <v>0</v>
      </c>
      <c r="N134" s="8"/>
    </row>
    <row r="135" spans="1:14">
      <c r="A135" s="13">
        <v>46569</v>
      </c>
      <c r="B135" t="s">
        <v>29</v>
      </c>
      <c r="C135" t="s">
        <v>23</v>
      </c>
      <c r="D135" t="s">
        <v>31</v>
      </c>
      <c r="E135" s="7"/>
      <c r="F135" s="7"/>
      <c r="G135" s="7"/>
      <c r="H135" s="7"/>
      <c r="I135" s="7"/>
      <c r="J135" s="4">
        <f>IFERROR(I135-E135-F135+G135+H135,0)</f>
        <v>0</v>
      </c>
      <c r="K135" s="6">
        <f>IFERROR(J135/(E135+F135),0)</f>
        <v>0</v>
      </c>
      <c r="L135" s="6">
        <f>IFERROR(K135-SUMIFS($K$4:K135,$B$4:B135,B135,$C$4:C135,C135,$A$4:A135,EDATE(A135,-1)),K135)</f>
        <v>0</v>
      </c>
      <c r="M135" s="6">
        <f>IFERROR((I135+SUMIFS($G$4:G135,$B$4:B135,B135,$C$4:C135,C135,$A$4:A135,"&lt;="&amp;A135)+SUMIFS($H$4:H135,$B$4:B135,B135,$C$4:C135,C135,$A$4:A135,"&lt;="&amp;A135)-SUMIFS($F$4:F135,$B$4:B135,B135,$C$4:C135,C135,$A$4:A135,"&lt;="&amp;A135))/SUMIFS($F$4:F135,$B$4:B135,B135,$C$4:C135,C135,$A$4:A135,"&lt;="&amp;A135),0)</f>
        <v>0</v>
      </c>
      <c r="N135" s="8"/>
    </row>
    <row r="136" spans="1:14">
      <c r="A136" s="13">
        <v>46569</v>
      </c>
      <c r="B136" t="s">
        <v>32</v>
      </c>
      <c r="C136" t="s">
        <v>19</v>
      </c>
      <c r="D136" t="s">
        <v>33</v>
      </c>
      <c r="E136" s="7"/>
      <c r="F136" s="7"/>
      <c r="G136" s="7"/>
      <c r="H136" s="7"/>
      <c r="I136" s="7"/>
      <c r="J136" s="4">
        <f>IFERROR(I136-E136-F136+G136+H136,0)</f>
        <v>0</v>
      </c>
      <c r="K136" s="6">
        <f>IFERROR(J136/(E136+F136),0)</f>
        <v>0</v>
      </c>
      <c r="L136" s="6">
        <f>IFERROR(K136-SUMIFS($K$4:K136,$B$4:B136,B136,$C$4:C136,C136,$A$4:A136,EDATE(A136,-1)),K136)</f>
        <v>0</v>
      </c>
      <c r="M136" s="6">
        <f>IFERROR((I136+SUMIFS($G$4:G136,$B$4:B136,B136,$C$4:C136,C136,$A$4:A136,"&lt;="&amp;A136)+SUMIFS($H$4:H136,$B$4:B136,B136,$C$4:C136,C136,$A$4:A136,"&lt;="&amp;A136)-SUMIFS($F$4:F136,$B$4:B136,B136,$C$4:C136,C136,$A$4:A136,"&lt;="&amp;A136))/SUMIFS($F$4:F136,$B$4:B136,B136,$C$4:C136,C136,$A$4:A136,"&lt;="&amp;A136),0)</f>
        <v>0</v>
      </c>
      <c r="N136" s="8"/>
    </row>
    <row r="137" spans="1:14">
      <c r="A137" s="13">
        <v>46569</v>
      </c>
      <c r="B137" t="s">
        <v>32</v>
      </c>
      <c r="C137" t="s">
        <v>23</v>
      </c>
      <c r="D137" t="s">
        <v>34</v>
      </c>
      <c r="E137" s="7"/>
      <c r="F137" s="7"/>
      <c r="G137" s="7"/>
      <c r="H137" s="7"/>
      <c r="I137" s="7"/>
      <c r="J137" s="4">
        <f>IFERROR(I137-E137-F137+G137+H137,0)</f>
        <v>0</v>
      </c>
      <c r="K137" s="6">
        <f>IFERROR(J137/(E137+F137),0)</f>
        <v>0</v>
      </c>
      <c r="L137" s="6">
        <f>IFERROR(K137-SUMIFS($K$4:K137,$B$4:B137,B137,$C$4:C137,C137,$A$4:A137,EDATE(A137,-1)),K137)</f>
        <v>0</v>
      </c>
      <c r="M137" s="6">
        <f>IFERROR((I137+SUMIFS($G$4:G137,$B$4:B137,B137,$C$4:C137,C137,$A$4:A137,"&lt;="&amp;A137)+SUMIFS($H$4:H137,$B$4:B137,B137,$C$4:C137,C137,$A$4:A137,"&lt;="&amp;A137)-SUMIFS($F$4:F137,$B$4:B137,B137,$C$4:C137,C137,$A$4:A137,"&lt;="&amp;A137))/SUMIFS($F$4:F137,$B$4:B137,B137,$C$4:C137,C137,$A$4:A137,"&lt;="&amp;A137),0)</f>
        <v>0</v>
      </c>
      <c r="N137" s="8"/>
    </row>
    <row r="138" spans="1:14">
      <c r="A138" s="13">
        <v>46569</v>
      </c>
      <c r="B138" t="s">
        <v>35</v>
      </c>
      <c r="C138" t="s">
        <v>19</v>
      </c>
      <c r="D138" t="s">
        <v>36</v>
      </c>
      <c r="E138" s="7"/>
      <c r="F138" s="7"/>
      <c r="G138" s="7"/>
      <c r="H138" s="7"/>
      <c r="I138" s="7"/>
      <c r="J138" s="4">
        <f>IFERROR(I138-E138-F138+G138+H138,0)</f>
        <v>0</v>
      </c>
      <c r="K138" s="6">
        <f>IFERROR(J138/(E138+F138),0)</f>
        <v>0</v>
      </c>
      <c r="L138" s="6">
        <f>IFERROR(K138-SUMIFS($K$4:K138,$B$4:B138,B138,$C$4:C138,C138,$A$4:A138,EDATE(A138,-1)),K138)</f>
        <v>0</v>
      </c>
      <c r="M138" s="6">
        <f>IFERROR((I138+SUMIFS($G$4:G138,$B$4:B138,B138,$C$4:C138,C138,$A$4:A138,"&lt;="&amp;A138)+SUMIFS($H$4:H138,$B$4:B138,B138,$C$4:C138,C138,$A$4:A138,"&lt;="&amp;A138)-SUMIFS($F$4:F138,$B$4:B138,B138,$C$4:C138,C138,$A$4:A138,"&lt;="&amp;A138))/SUMIFS($F$4:F138,$B$4:B138,B138,$C$4:C138,C138,$A$4:A138,"&lt;="&amp;A138),0)</f>
        <v>0</v>
      </c>
      <c r="N138" s="8"/>
    </row>
    <row r="139" spans="1:14">
      <c r="A139" s="13">
        <v>46569</v>
      </c>
      <c r="B139" t="s">
        <v>35</v>
      </c>
      <c r="C139" t="s">
        <v>23</v>
      </c>
      <c r="D139" t="s">
        <v>37</v>
      </c>
      <c r="E139" s="7"/>
      <c r="F139" s="7"/>
      <c r="G139" s="7"/>
      <c r="H139" s="7"/>
      <c r="I139" s="7"/>
      <c r="J139" s="4">
        <f>IFERROR(I139-E139-F139+G139+H139,0)</f>
        <v>0</v>
      </c>
      <c r="K139" s="6">
        <f>IFERROR(J139/(E139+F139),0)</f>
        <v>0</v>
      </c>
      <c r="L139" s="6">
        <f>IFERROR(K139-SUMIFS($K$4:K139,$B$4:B139,B139,$C$4:C139,C139,$A$4:A139,EDATE(A139,-1)),K139)</f>
        <v>0</v>
      </c>
      <c r="M139" s="6">
        <f>IFERROR((I139+SUMIFS($G$4:G139,$B$4:B139,B139,$C$4:C139,C139,$A$4:A139,"&lt;="&amp;A139)+SUMIFS($H$4:H139,$B$4:B139,B139,$C$4:C139,C139,$A$4:A139,"&lt;="&amp;A139)-SUMIFS($F$4:F139,$B$4:B139,B139,$C$4:C139,C139,$A$4:A139,"&lt;="&amp;A139))/SUMIFS($F$4:F139,$B$4:B139,B139,$C$4:C139,C139,$A$4:A139,"&lt;="&amp;A139),0)</f>
        <v>0</v>
      </c>
      <c r="N139" s="8"/>
    </row>
    <row r="140" spans="1:14">
      <c r="A140" s="13">
        <v>46569</v>
      </c>
      <c r="B140" t="s">
        <v>38</v>
      </c>
      <c r="C140" t="s">
        <v>19</v>
      </c>
      <c r="D140" t="s">
        <v>39</v>
      </c>
      <c r="E140" s="7"/>
      <c r="F140" s="7"/>
      <c r="G140" s="7"/>
      <c r="H140" s="7"/>
      <c r="I140" s="7"/>
      <c r="J140" s="4">
        <f>IFERROR(I140-E140-F140+G140+H140,0)</f>
        <v>0</v>
      </c>
      <c r="K140" s="6">
        <f>IFERROR(J140/(E140+F140),0)</f>
        <v>0</v>
      </c>
      <c r="L140" s="6">
        <f>IFERROR(K140-SUMIFS($K$4:K140,$B$4:B140,B140,$C$4:C140,C140,$A$4:A140,EDATE(A140,-1)),K140)</f>
        <v>0</v>
      </c>
      <c r="M140" s="6">
        <f>IFERROR((I140+SUMIFS($G$4:G140,$B$4:B140,B140,$C$4:C140,C140,$A$4:A140,"&lt;="&amp;A140)+SUMIFS($H$4:H140,$B$4:B140,B140,$C$4:C140,C140,$A$4:A140,"&lt;="&amp;A140)-SUMIFS($F$4:F140,$B$4:B140,B140,$C$4:C140,C140,$A$4:A140,"&lt;="&amp;A140))/SUMIFS($F$4:F140,$B$4:B140,B140,$C$4:C140,C140,$A$4:A140,"&lt;="&amp;A140),0)</f>
        <v>0</v>
      </c>
      <c r="N140" s="8"/>
    </row>
    <row r="141" spans="1:14">
      <c r="A141" s="13">
        <v>46569</v>
      </c>
      <c r="B141" t="s">
        <v>38</v>
      </c>
      <c r="C141" t="s">
        <v>23</v>
      </c>
      <c r="D141" t="s">
        <v>40</v>
      </c>
      <c r="E141" s="7"/>
      <c r="F141" s="7"/>
      <c r="G141" s="7"/>
      <c r="H141" s="7"/>
      <c r="I141" s="7"/>
      <c r="J141" s="4">
        <f>IFERROR(I141-E141-F141+G141+H141,0)</f>
        <v>0</v>
      </c>
      <c r="K141" s="6">
        <f>IFERROR(J141/(E141+F141),0)</f>
        <v>0</v>
      </c>
      <c r="L141" s="6">
        <f>IFERROR(K141-SUMIFS($K$4:K141,$B$4:B141,B141,$C$4:C141,C141,$A$4:A141,EDATE(A141,-1)),K141)</f>
        <v>0</v>
      </c>
      <c r="M141" s="6">
        <f>IFERROR((I141+SUMIFS($G$4:G141,$B$4:B141,B141,$C$4:C141,C141,$A$4:A141,"&lt;="&amp;A141)+SUMIFS($H$4:H141,$B$4:B141,B141,$C$4:C141,C141,$A$4:A141,"&lt;="&amp;A141)-SUMIFS($F$4:F141,$B$4:B141,B141,$C$4:C141,C141,$A$4:A141,"&lt;="&amp;A141))/SUMIFS($F$4:F141,$B$4:B141,B141,$C$4:C141,C141,$A$4:A141,"&lt;="&amp;A141),0)</f>
        <v>0</v>
      </c>
      <c r="N141" s="8"/>
    </row>
    <row r="142" spans="1:14">
      <c r="A142" s="13">
        <v>46569</v>
      </c>
      <c r="B142" t="s">
        <v>41</v>
      </c>
      <c r="C142" t="s">
        <v>19</v>
      </c>
      <c r="D142" t="s">
        <v>42</v>
      </c>
      <c r="E142" s="7"/>
      <c r="F142" s="7"/>
      <c r="G142" s="7"/>
      <c r="H142" s="7"/>
      <c r="I142" s="7"/>
      <c r="J142" s="4">
        <f>IFERROR(I142-E142-F142+G142+H142,0)</f>
        <v>0</v>
      </c>
      <c r="K142" s="6">
        <f>IFERROR(J142/(E142+F142),0)</f>
        <v>0</v>
      </c>
      <c r="L142" s="6">
        <f>IFERROR(K142-SUMIFS($K$4:K142,$B$4:B142,B142,$C$4:C142,C142,$A$4:A142,EDATE(A142,-1)),K142)</f>
        <v>0</v>
      </c>
      <c r="M142" s="6">
        <f>IFERROR((I142+SUMIFS($G$4:G142,$B$4:B142,B142,$C$4:C142,C142,$A$4:A142,"&lt;="&amp;A142)+SUMIFS($H$4:H142,$B$4:B142,B142,$C$4:C142,C142,$A$4:A142,"&lt;="&amp;A142)-SUMIFS($F$4:F142,$B$4:B142,B142,$C$4:C142,C142,$A$4:A142,"&lt;="&amp;A142))/SUMIFS($F$4:F142,$B$4:B142,B142,$C$4:C142,C142,$A$4:A142,"&lt;="&amp;A142),0)</f>
        <v>0</v>
      </c>
      <c r="N142" s="8"/>
    </row>
    <row r="143" spans="1:14">
      <c r="A143" s="13">
        <v>46569</v>
      </c>
      <c r="B143" t="s">
        <v>41</v>
      </c>
      <c r="C143" t="s">
        <v>23</v>
      </c>
      <c r="D143" t="s">
        <v>43</v>
      </c>
      <c r="E143" s="7"/>
      <c r="F143" s="7"/>
      <c r="G143" s="7"/>
      <c r="H143" s="7"/>
      <c r="I143" s="7"/>
      <c r="J143" s="4">
        <f>IFERROR(I143-E143-F143+G143+H143,0)</f>
        <v>0</v>
      </c>
      <c r="K143" s="6">
        <f>IFERROR(J143/(E143+F143),0)</f>
        <v>0</v>
      </c>
      <c r="L143" s="6">
        <f>IFERROR(K143-SUMIFS($K$4:K143,$B$4:B143,B143,$C$4:C143,C143,$A$4:A143,EDATE(A143,-1)),K143)</f>
        <v>0</v>
      </c>
      <c r="M143" s="6">
        <f>IFERROR((I143+SUMIFS($G$4:G143,$B$4:B143,B143,$C$4:C143,C143,$A$4:A143,"&lt;="&amp;A143)+SUMIFS($H$4:H143,$B$4:B143,B143,$C$4:C143,C143,$A$4:A143,"&lt;="&amp;A143)-SUMIFS($F$4:F143,$B$4:B143,B143,$C$4:C143,C143,$A$4:A143,"&lt;="&amp;A143))/SUMIFS($F$4:F143,$B$4:B143,B143,$C$4:C143,C143,$A$4:A143,"&lt;="&amp;A143),0)</f>
        <v>0</v>
      </c>
      <c r="N143" s="8"/>
    </row>
    <row r="144" spans="1:14">
      <c r="A144" s="13">
        <v>46600</v>
      </c>
      <c r="B144" t="s">
        <v>18</v>
      </c>
      <c r="C144" t="s">
        <v>19</v>
      </c>
      <c r="D144" t="s">
        <v>21</v>
      </c>
      <c r="E144" s="7"/>
      <c r="F144" s="7"/>
      <c r="G144" s="7"/>
      <c r="H144" s="7"/>
      <c r="I144" s="7"/>
      <c r="J144" s="4">
        <f>IFERROR(I144-E144-F144+G144+H144,0)</f>
        <v>0</v>
      </c>
      <c r="K144" s="6">
        <f>IFERROR(J144/(E144+F144),0)</f>
        <v>0</v>
      </c>
      <c r="L144" s="6">
        <f>IFERROR(K144-SUMIFS($K$4:K144,$B$4:B144,B144,$C$4:C144,C144,$A$4:A144,EDATE(A144,-1)),K144)</f>
        <v>0</v>
      </c>
      <c r="M144" s="6">
        <f>IFERROR((I144+SUMIFS($G$4:G144,$B$4:B144,B144,$C$4:C144,C144,$A$4:A144,"&lt;="&amp;A144)+SUMIFS($H$4:H144,$B$4:B144,B144,$C$4:C144,C144,$A$4:A144,"&lt;="&amp;A144)-SUMIFS($F$4:F144,$B$4:B144,B144,$C$4:C144,C144,$A$4:A144,"&lt;="&amp;A144))/SUMIFS($F$4:F144,$B$4:B144,B144,$C$4:C144,C144,$A$4:A144,"&lt;="&amp;A144),0)</f>
        <v>0</v>
      </c>
      <c r="N144" s="8"/>
    </row>
    <row r="145" spans="1:14">
      <c r="A145" s="13">
        <v>46600</v>
      </c>
      <c r="B145" t="s">
        <v>18</v>
      </c>
      <c r="C145" t="s">
        <v>23</v>
      </c>
      <c r="D145" t="s">
        <v>24</v>
      </c>
      <c r="E145" s="7"/>
      <c r="F145" s="7"/>
      <c r="G145" s="7"/>
      <c r="H145" s="7"/>
      <c r="I145" s="7"/>
      <c r="J145" s="4">
        <f>IFERROR(I145-E145-F145+G145+H145,0)</f>
        <v>0</v>
      </c>
      <c r="K145" s="6">
        <f>IFERROR(J145/(E145+F145),0)</f>
        <v>0</v>
      </c>
      <c r="L145" s="6">
        <f>IFERROR(K145-SUMIFS($K$4:K145,$B$4:B145,B145,$C$4:C145,C145,$A$4:A145,EDATE(A145,-1)),K145)</f>
        <v>0</v>
      </c>
      <c r="M145" s="6">
        <f>IFERROR((I145+SUMIFS($G$4:G145,$B$4:B145,B145,$C$4:C145,C145,$A$4:A145,"&lt;="&amp;A145)+SUMIFS($H$4:H145,$B$4:B145,B145,$C$4:C145,C145,$A$4:A145,"&lt;="&amp;A145)-SUMIFS($F$4:F145,$B$4:B145,B145,$C$4:C145,C145,$A$4:A145,"&lt;="&amp;A145))/SUMIFS($F$4:F145,$B$4:B145,B145,$C$4:C145,C145,$A$4:A145,"&lt;="&amp;A145),0)</f>
        <v>0</v>
      </c>
      <c r="N145" s="8"/>
    </row>
    <row r="146" spans="1:14">
      <c r="A146" s="13">
        <v>46600</v>
      </c>
      <c r="B146" t="s">
        <v>26</v>
      </c>
      <c r="C146" t="s">
        <v>19</v>
      </c>
      <c r="D146" t="s">
        <v>27</v>
      </c>
      <c r="E146" s="7"/>
      <c r="F146" s="7"/>
      <c r="G146" s="7"/>
      <c r="H146" s="7"/>
      <c r="I146" s="7"/>
      <c r="J146" s="4">
        <f>IFERROR(I146-E146-F146+G146+H146,0)</f>
        <v>0</v>
      </c>
      <c r="K146" s="6">
        <f>IFERROR(J146/(E146+F146),0)</f>
        <v>0</v>
      </c>
      <c r="L146" s="6">
        <f>IFERROR(K146-SUMIFS($K$4:K146,$B$4:B146,B146,$C$4:C146,C146,$A$4:A146,EDATE(A146,-1)),K146)</f>
        <v>0</v>
      </c>
      <c r="M146" s="6">
        <f>IFERROR((I146+SUMIFS($G$4:G146,$B$4:B146,B146,$C$4:C146,C146,$A$4:A146,"&lt;="&amp;A146)+SUMIFS($H$4:H146,$B$4:B146,B146,$C$4:C146,C146,$A$4:A146,"&lt;="&amp;A146)-SUMIFS($F$4:F146,$B$4:B146,B146,$C$4:C146,C146,$A$4:A146,"&lt;="&amp;A146))/SUMIFS($F$4:F146,$B$4:B146,B146,$C$4:C146,C146,$A$4:A146,"&lt;="&amp;A146),0)</f>
        <v>0</v>
      </c>
      <c r="N146" s="8"/>
    </row>
    <row r="147" spans="1:14">
      <c r="A147" s="13">
        <v>46600</v>
      </c>
      <c r="B147" t="s">
        <v>26</v>
      </c>
      <c r="C147" t="s">
        <v>23</v>
      </c>
      <c r="D147" t="s">
        <v>28</v>
      </c>
      <c r="E147" s="7"/>
      <c r="F147" s="7"/>
      <c r="G147" s="7"/>
      <c r="H147" s="7"/>
      <c r="I147" s="7"/>
      <c r="J147" s="4">
        <f>IFERROR(I147-E147-F147+G147+H147,0)</f>
        <v>0</v>
      </c>
      <c r="K147" s="6">
        <f>IFERROR(J147/(E147+F147),0)</f>
        <v>0</v>
      </c>
      <c r="L147" s="6">
        <f>IFERROR(K147-SUMIFS($K$4:K147,$B$4:B147,B147,$C$4:C147,C147,$A$4:A147,EDATE(A147,-1)),K147)</f>
        <v>0</v>
      </c>
      <c r="M147" s="6">
        <f>IFERROR((I147+SUMIFS($G$4:G147,$B$4:B147,B147,$C$4:C147,C147,$A$4:A147,"&lt;="&amp;A147)+SUMIFS($H$4:H147,$B$4:B147,B147,$C$4:C147,C147,$A$4:A147,"&lt;="&amp;A147)-SUMIFS($F$4:F147,$B$4:B147,B147,$C$4:C147,C147,$A$4:A147,"&lt;="&amp;A147))/SUMIFS($F$4:F147,$B$4:B147,B147,$C$4:C147,C147,$A$4:A147,"&lt;="&amp;A147),0)</f>
        <v>0</v>
      </c>
      <c r="N147" s="8"/>
    </row>
    <row r="148" spans="1:14">
      <c r="A148" s="13">
        <v>46600</v>
      </c>
      <c r="B148" t="s">
        <v>29</v>
      </c>
      <c r="C148" t="s">
        <v>19</v>
      </c>
      <c r="D148" t="s">
        <v>30</v>
      </c>
      <c r="E148" s="7"/>
      <c r="F148" s="7"/>
      <c r="G148" s="7"/>
      <c r="H148" s="7"/>
      <c r="I148" s="7"/>
      <c r="J148" s="4">
        <f>IFERROR(I148-E148-F148+G148+H148,0)</f>
        <v>0</v>
      </c>
      <c r="K148" s="6">
        <f>IFERROR(J148/(E148+F148),0)</f>
        <v>0</v>
      </c>
      <c r="L148" s="6">
        <f>IFERROR(K148-SUMIFS($K$4:K148,$B$4:B148,B148,$C$4:C148,C148,$A$4:A148,EDATE(A148,-1)),K148)</f>
        <v>0</v>
      </c>
      <c r="M148" s="6">
        <f>IFERROR((I148+SUMIFS($G$4:G148,$B$4:B148,B148,$C$4:C148,C148,$A$4:A148,"&lt;="&amp;A148)+SUMIFS($H$4:H148,$B$4:B148,B148,$C$4:C148,C148,$A$4:A148,"&lt;="&amp;A148)-SUMIFS($F$4:F148,$B$4:B148,B148,$C$4:C148,C148,$A$4:A148,"&lt;="&amp;A148))/SUMIFS($F$4:F148,$B$4:B148,B148,$C$4:C148,C148,$A$4:A148,"&lt;="&amp;A148),0)</f>
        <v>0</v>
      </c>
      <c r="N148" s="8"/>
    </row>
    <row r="149" spans="1:14">
      <c r="A149" s="13">
        <v>46600</v>
      </c>
      <c r="B149" t="s">
        <v>29</v>
      </c>
      <c r="C149" t="s">
        <v>23</v>
      </c>
      <c r="D149" t="s">
        <v>31</v>
      </c>
      <c r="E149" s="7"/>
      <c r="F149" s="7"/>
      <c r="G149" s="7"/>
      <c r="H149" s="7"/>
      <c r="I149" s="7"/>
      <c r="J149" s="4">
        <f>IFERROR(I149-E149-F149+G149+H149,0)</f>
        <v>0</v>
      </c>
      <c r="K149" s="6">
        <f>IFERROR(J149/(E149+F149),0)</f>
        <v>0</v>
      </c>
      <c r="L149" s="6">
        <f>IFERROR(K149-SUMIFS($K$4:K149,$B$4:B149,B149,$C$4:C149,C149,$A$4:A149,EDATE(A149,-1)),K149)</f>
        <v>0</v>
      </c>
      <c r="M149" s="6">
        <f>IFERROR((I149+SUMIFS($G$4:G149,$B$4:B149,B149,$C$4:C149,C149,$A$4:A149,"&lt;="&amp;A149)+SUMIFS($H$4:H149,$B$4:B149,B149,$C$4:C149,C149,$A$4:A149,"&lt;="&amp;A149)-SUMIFS($F$4:F149,$B$4:B149,B149,$C$4:C149,C149,$A$4:A149,"&lt;="&amp;A149))/SUMIFS($F$4:F149,$B$4:B149,B149,$C$4:C149,C149,$A$4:A149,"&lt;="&amp;A149),0)</f>
        <v>0</v>
      </c>
      <c r="N149" s="8"/>
    </row>
    <row r="150" spans="1:14">
      <c r="A150" s="13">
        <v>46600</v>
      </c>
      <c r="B150" t="s">
        <v>32</v>
      </c>
      <c r="C150" t="s">
        <v>19</v>
      </c>
      <c r="D150" t="s">
        <v>33</v>
      </c>
      <c r="E150" s="7"/>
      <c r="F150" s="7"/>
      <c r="G150" s="7"/>
      <c r="H150" s="7"/>
      <c r="I150" s="7"/>
      <c r="J150" s="4">
        <f>IFERROR(I150-E150-F150+G150+H150,0)</f>
        <v>0</v>
      </c>
      <c r="K150" s="6">
        <f>IFERROR(J150/(E150+F150),0)</f>
        <v>0</v>
      </c>
      <c r="L150" s="6">
        <f>IFERROR(K150-SUMIFS($K$4:K150,$B$4:B150,B150,$C$4:C150,C150,$A$4:A150,EDATE(A150,-1)),K150)</f>
        <v>0</v>
      </c>
      <c r="M150" s="6">
        <f>IFERROR((I150+SUMIFS($G$4:G150,$B$4:B150,B150,$C$4:C150,C150,$A$4:A150,"&lt;="&amp;A150)+SUMIFS($H$4:H150,$B$4:B150,B150,$C$4:C150,C150,$A$4:A150,"&lt;="&amp;A150)-SUMIFS($F$4:F150,$B$4:B150,B150,$C$4:C150,C150,$A$4:A150,"&lt;="&amp;A150))/SUMIFS($F$4:F150,$B$4:B150,B150,$C$4:C150,C150,$A$4:A150,"&lt;="&amp;A150),0)</f>
        <v>0</v>
      </c>
      <c r="N150" s="8"/>
    </row>
    <row r="151" spans="1:14">
      <c r="A151" s="13">
        <v>46600</v>
      </c>
      <c r="B151" t="s">
        <v>32</v>
      </c>
      <c r="C151" t="s">
        <v>23</v>
      </c>
      <c r="D151" t="s">
        <v>34</v>
      </c>
      <c r="E151" s="7"/>
      <c r="F151" s="7"/>
      <c r="G151" s="7"/>
      <c r="H151" s="7"/>
      <c r="I151" s="7"/>
      <c r="J151" s="4">
        <f>IFERROR(I151-E151-F151+G151+H151,0)</f>
        <v>0</v>
      </c>
      <c r="K151" s="6">
        <f>IFERROR(J151/(E151+F151),0)</f>
        <v>0</v>
      </c>
      <c r="L151" s="6">
        <f>IFERROR(K151-SUMIFS($K$4:K151,$B$4:B151,B151,$C$4:C151,C151,$A$4:A151,EDATE(A151,-1)),K151)</f>
        <v>0</v>
      </c>
      <c r="M151" s="6">
        <f>IFERROR((I151+SUMIFS($G$4:G151,$B$4:B151,B151,$C$4:C151,C151,$A$4:A151,"&lt;="&amp;A151)+SUMIFS($H$4:H151,$B$4:B151,B151,$C$4:C151,C151,$A$4:A151,"&lt;="&amp;A151)-SUMIFS($F$4:F151,$B$4:B151,B151,$C$4:C151,C151,$A$4:A151,"&lt;="&amp;A151))/SUMIFS($F$4:F151,$B$4:B151,B151,$C$4:C151,C151,$A$4:A151,"&lt;="&amp;A151),0)</f>
        <v>0</v>
      </c>
      <c r="N151" s="8"/>
    </row>
    <row r="152" spans="1:14">
      <c r="A152" s="13">
        <v>46600</v>
      </c>
      <c r="B152" t="s">
        <v>35</v>
      </c>
      <c r="C152" t="s">
        <v>19</v>
      </c>
      <c r="D152" t="s">
        <v>36</v>
      </c>
      <c r="E152" s="7"/>
      <c r="F152" s="7"/>
      <c r="G152" s="7"/>
      <c r="H152" s="7"/>
      <c r="I152" s="7"/>
      <c r="J152" s="4">
        <f>IFERROR(I152-E152-F152+G152+H152,0)</f>
        <v>0</v>
      </c>
      <c r="K152" s="6">
        <f>IFERROR(J152/(E152+F152),0)</f>
        <v>0</v>
      </c>
      <c r="L152" s="6">
        <f>IFERROR(K152-SUMIFS($K$4:K152,$B$4:B152,B152,$C$4:C152,C152,$A$4:A152,EDATE(A152,-1)),K152)</f>
        <v>0</v>
      </c>
      <c r="M152" s="6">
        <f>IFERROR((I152+SUMIFS($G$4:G152,$B$4:B152,B152,$C$4:C152,C152,$A$4:A152,"&lt;="&amp;A152)+SUMIFS($H$4:H152,$B$4:B152,B152,$C$4:C152,C152,$A$4:A152,"&lt;="&amp;A152)-SUMIFS($F$4:F152,$B$4:B152,B152,$C$4:C152,C152,$A$4:A152,"&lt;="&amp;A152))/SUMIFS($F$4:F152,$B$4:B152,B152,$C$4:C152,C152,$A$4:A152,"&lt;="&amp;A152),0)</f>
        <v>0</v>
      </c>
      <c r="N152" s="8"/>
    </row>
    <row r="153" spans="1:14">
      <c r="A153" s="13">
        <v>46600</v>
      </c>
      <c r="B153" t="s">
        <v>35</v>
      </c>
      <c r="C153" t="s">
        <v>23</v>
      </c>
      <c r="D153" t="s">
        <v>37</v>
      </c>
      <c r="E153" s="7"/>
      <c r="F153" s="7"/>
      <c r="G153" s="7"/>
      <c r="H153" s="7"/>
      <c r="I153" s="7"/>
      <c r="J153" s="4">
        <f>IFERROR(I153-E153-F153+G153+H153,0)</f>
        <v>0</v>
      </c>
      <c r="K153" s="6">
        <f>IFERROR(J153/(E153+F153),0)</f>
        <v>0</v>
      </c>
      <c r="L153" s="6">
        <f>IFERROR(K153-SUMIFS($K$4:K153,$B$4:B153,B153,$C$4:C153,C153,$A$4:A153,EDATE(A153,-1)),K153)</f>
        <v>0</v>
      </c>
      <c r="M153" s="6">
        <f>IFERROR((I153+SUMIFS($G$4:G153,$B$4:B153,B153,$C$4:C153,C153,$A$4:A153,"&lt;="&amp;A153)+SUMIFS($H$4:H153,$B$4:B153,B153,$C$4:C153,C153,$A$4:A153,"&lt;="&amp;A153)-SUMIFS($F$4:F153,$B$4:B153,B153,$C$4:C153,C153,$A$4:A153,"&lt;="&amp;A153))/SUMIFS($F$4:F153,$B$4:B153,B153,$C$4:C153,C153,$A$4:A153,"&lt;="&amp;A153),0)</f>
        <v>0</v>
      </c>
      <c r="N153" s="8"/>
    </row>
    <row r="154" spans="1:14">
      <c r="A154" s="13">
        <v>46600</v>
      </c>
      <c r="B154" t="s">
        <v>38</v>
      </c>
      <c r="C154" t="s">
        <v>19</v>
      </c>
      <c r="D154" t="s">
        <v>39</v>
      </c>
      <c r="E154" s="7"/>
      <c r="F154" s="7"/>
      <c r="G154" s="7"/>
      <c r="H154" s="7"/>
      <c r="I154" s="7"/>
      <c r="J154" s="4">
        <f>IFERROR(I154-E154-F154+G154+H154,0)</f>
        <v>0</v>
      </c>
      <c r="K154" s="6">
        <f>IFERROR(J154/(E154+F154),0)</f>
        <v>0</v>
      </c>
      <c r="L154" s="6">
        <f>IFERROR(K154-SUMIFS($K$4:K154,$B$4:B154,B154,$C$4:C154,C154,$A$4:A154,EDATE(A154,-1)),K154)</f>
        <v>0</v>
      </c>
      <c r="M154" s="6">
        <f>IFERROR((I154+SUMIFS($G$4:G154,$B$4:B154,B154,$C$4:C154,C154,$A$4:A154,"&lt;="&amp;A154)+SUMIFS($H$4:H154,$B$4:B154,B154,$C$4:C154,C154,$A$4:A154,"&lt;="&amp;A154)-SUMIFS($F$4:F154,$B$4:B154,B154,$C$4:C154,C154,$A$4:A154,"&lt;="&amp;A154))/SUMIFS($F$4:F154,$B$4:B154,B154,$C$4:C154,C154,$A$4:A154,"&lt;="&amp;A154),0)</f>
        <v>0</v>
      </c>
      <c r="N154" s="8"/>
    </row>
    <row r="155" spans="1:14">
      <c r="A155" s="13">
        <v>46600</v>
      </c>
      <c r="B155" t="s">
        <v>38</v>
      </c>
      <c r="C155" t="s">
        <v>23</v>
      </c>
      <c r="D155" t="s">
        <v>40</v>
      </c>
      <c r="E155" s="7"/>
      <c r="F155" s="7"/>
      <c r="G155" s="7"/>
      <c r="H155" s="7"/>
      <c r="I155" s="7"/>
      <c r="J155" s="4">
        <f>IFERROR(I155-E155-F155+G155+H155,0)</f>
        <v>0</v>
      </c>
      <c r="K155" s="6">
        <f>IFERROR(J155/(E155+F155),0)</f>
        <v>0</v>
      </c>
      <c r="L155" s="6">
        <f>IFERROR(K155-SUMIFS($K$4:K155,$B$4:B155,B155,$C$4:C155,C155,$A$4:A155,EDATE(A155,-1)),K155)</f>
        <v>0</v>
      </c>
      <c r="M155" s="6">
        <f>IFERROR((I155+SUMIFS($G$4:G155,$B$4:B155,B155,$C$4:C155,C155,$A$4:A155,"&lt;="&amp;A155)+SUMIFS($H$4:H155,$B$4:B155,B155,$C$4:C155,C155,$A$4:A155,"&lt;="&amp;A155)-SUMIFS($F$4:F155,$B$4:B155,B155,$C$4:C155,C155,$A$4:A155,"&lt;="&amp;A155))/SUMIFS($F$4:F155,$B$4:B155,B155,$C$4:C155,C155,$A$4:A155,"&lt;="&amp;A155),0)</f>
        <v>0</v>
      </c>
      <c r="N155" s="8"/>
    </row>
    <row r="156" spans="1:14">
      <c r="A156" s="13">
        <v>46600</v>
      </c>
      <c r="B156" t="s">
        <v>41</v>
      </c>
      <c r="C156" t="s">
        <v>19</v>
      </c>
      <c r="D156" t="s">
        <v>42</v>
      </c>
      <c r="E156" s="7"/>
      <c r="F156" s="7"/>
      <c r="G156" s="7"/>
      <c r="H156" s="7"/>
      <c r="I156" s="7"/>
      <c r="J156" s="4">
        <f>IFERROR(I156-E156-F156+G156+H156,0)</f>
        <v>0</v>
      </c>
      <c r="K156" s="6">
        <f>IFERROR(J156/(E156+F156),0)</f>
        <v>0</v>
      </c>
      <c r="L156" s="6">
        <f>IFERROR(K156-SUMIFS($K$4:K156,$B$4:B156,B156,$C$4:C156,C156,$A$4:A156,EDATE(A156,-1)),K156)</f>
        <v>0</v>
      </c>
      <c r="M156" s="6">
        <f>IFERROR((I156+SUMIFS($G$4:G156,$B$4:B156,B156,$C$4:C156,C156,$A$4:A156,"&lt;="&amp;A156)+SUMIFS($H$4:H156,$B$4:B156,B156,$C$4:C156,C156,$A$4:A156,"&lt;="&amp;A156)-SUMIFS($F$4:F156,$B$4:B156,B156,$C$4:C156,C156,$A$4:A156,"&lt;="&amp;A156))/SUMIFS($F$4:F156,$B$4:B156,B156,$C$4:C156,C156,$A$4:A156,"&lt;="&amp;A156),0)</f>
        <v>0</v>
      </c>
      <c r="N156" s="8"/>
    </row>
    <row r="157" spans="1:14">
      <c r="A157" s="13">
        <v>46600</v>
      </c>
      <c r="B157" t="s">
        <v>41</v>
      </c>
      <c r="C157" t="s">
        <v>23</v>
      </c>
      <c r="D157" t="s">
        <v>43</v>
      </c>
      <c r="E157" s="7"/>
      <c r="F157" s="7"/>
      <c r="G157" s="7"/>
      <c r="H157" s="7"/>
      <c r="I157" s="7"/>
      <c r="J157" s="4">
        <f>IFERROR(I157-E157-F157+G157+H157,0)</f>
        <v>0</v>
      </c>
      <c r="K157" s="6">
        <f>IFERROR(J157/(E157+F157),0)</f>
        <v>0</v>
      </c>
      <c r="L157" s="6">
        <f>IFERROR(K157-SUMIFS($K$4:K157,$B$4:B157,B157,$C$4:C157,C157,$A$4:A157,EDATE(A157,-1)),K157)</f>
        <v>0</v>
      </c>
      <c r="M157" s="6">
        <f>IFERROR((I157+SUMIFS($G$4:G157,$B$4:B157,B157,$C$4:C157,C157,$A$4:A157,"&lt;="&amp;A157)+SUMIFS($H$4:H157,$B$4:B157,B157,$C$4:C157,C157,$A$4:A157,"&lt;="&amp;A157)-SUMIFS($F$4:F157,$B$4:B157,B157,$C$4:C157,C157,$A$4:A157,"&lt;="&amp;A157))/SUMIFS($F$4:F157,$B$4:B157,B157,$C$4:C157,C157,$A$4:A157,"&lt;="&amp;A157),0)</f>
        <v>0</v>
      </c>
      <c r="N157" s="8"/>
    </row>
    <row r="158" spans="1:14">
      <c r="A158" s="13">
        <v>46631</v>
      </c>
      <c r="B158" t="s">
        <v>18</v>
      </c>
      <c r="C158" t="s">
        <v>19</v>
      </c>
      <c r="D158" t="s">
        <v>21</v>
      </c>
      <c r="E158" s="7"/>
      <c r="F158" s="7"/>
      <c r="G158" s="7"/>
      <c r="H158" s="7"/>
      <c r="I158" s="7"/>
      <c r="J158" s="4">
        <f>IFERROR(I158-E158-F158+G158+H158,0)</f>
        <v>0</v>
      </c>
      <c r="K158" s="6">
        <f>IFERROR(J158/(E158+F158),0)</f>
        <v>0</v>
      </c>
      <c r="L158" s="6">
        <f>IFERROR(K158-SUMIFS($K$4:K158,$B$4:B158,B158,$C$4:C158,C158,$A$4:A158,EDATE(A158,-1)),K158)</f>
        <v>0</v>
      </c>
      <c r="M158" s="6">
        <f>IFERROR((I158+SUMIFS($G$4:G158,$B$4:B158,B158,$C$4:C158,C158,$A$4:A158,"&lt;="&amp;A158)+SUMIFS($H$4:H158,$B$4:B158,B158,$C$4:C158,C158,$A$4:A158,"&lt;="&amp;A158)-SUMIFS($F$4:F158,$B$4:B158,B158,$C$4:C158,C158,$A$4:A158,"&lt;="&amp;A158))/SUMIFS($F$4:F158,$B$4:B158,B158,$C$4:C158,C158,$A$4:A158,"&lt;="&amp;A158),0)</f>
        <v>0</v>
      </c>
      <c r="N158" s="8"/>
    </row>
    <row r="159" spans="1:14">
      <c r="A159" s="13">
        <v>46631</v>
      </c>
      <c r="B159" t="s">
        <v>18</v>
      </c>
      <c r="C159" t="s">
        <v>23</v>
      </c>
      <c r="D159" t="s">
        <v>24</v>
      </c>
      <c r="E159" s="7"/>
      <c r="F159" s="7"/>
      <c r="G159" s="7"/>
      <c r="H159" s="7"/>
      <c r="I159" s="7"/>
      <c r="J159" s="4">
        <f>IFERROR(I159-E159-F159+G159+H159,0)</f>
        <v>0</v>
      </c>
      <c r="K159" s="6">
        <f>IFERROR(J159/(E159+F159),0)</f>
        <v>0</v>
      </c>
      <c r="L159" s="6">
        <f>IFERROR(K159-SUMIFS($K$4:K159,$B$4:B159,B159,$C$4:C159,C159,$A$4:A159,EDATE(A159,-1)),K159)</f>
        <v>0</v>
      </c>
      <c r="M159" s="6">
        <f>IFERROR((I159+SUMIFS($G$4:G159,$B$4:B159,B159,$C$4:C159,C159,$A$4:A159,"&lt;="&amp;A159)+SUMIFS($H$4:H159,$B$4:B159,B159,$C$4:C159,C159,$A$4:A159,"&lt;="&amp;A159)-SUMIFS($F$4:F159,$B$4:B159,B159,$C$4:C159,C159,$A$4:A159,"&lt;="&amp;A159))/SUMIFS($F$4:F159,$B$4:B159,B159,$C$4:C159,C159,$A$4:A159,"&lt;="&amp;A159),0)</f>
        <v>0</v>
      </c>
      <c r="N159" s="8"/>
    </row>
    <row r="160" spans="1:14">
      <c r="A160" s="13">
        <v>46631</v>
      </c>
      <c r="B160" t="s">
        <v>26</v>
      </c>
      <c r="C160" t="s">
        <v>19</v>
      </c>
      <c r="D160" t="s">
        <v>27</v>
      </c>
      <c r="E160" s="7"/>
      <c r="F160" s="7"/>
      <c r="G160" s="7"/>
      <c r="H160" s="7"/>
      <c r="I160" s="7"/>
      <c r="J160" s="4">
        <f>IFERROR(I160-E160-F160+G160+H160,0)</f>
        <v>0</v>
      </c>
      <c r="K160" s="6">
        <f>IFERROR(J160/(E160+F160),0)</f>
        <v>0</v>
      </c>
      <c r="L160" s="6">
        <f>IFERROR(K160-SUMIFS($K$4:K160,$B$4:B160,B160,$C$4:C160,C160,$A$4:A160,EDATE(A160,-1)),K160)</f>
        <v>0</v>
      </c>
      <c r="M160" s="6">
        <f>IFERROR((I160+SUMIFS($G$4:G160,$B$4:B160,B160,$C$4:C160,C160,$A$4:A160,"&lt;="&amp;A160)+SUMIFS($H$4:H160,$B$4:B160,B160,$C$4:C160,C160,$A$4:A160,"&lt;="&amp;A160)-SUMIFS($F$4:F160,$B$4:B160,B160,$C$4:C160,C160,$A$4:A160,"&lt;="&amp;A160))/SUMIFS($F$4:F160,$B$4:B160,B160,$C$4:C160,C160,$A$4:A160,"&lt;="&amp;A160),0)</f>
        <v>0</v>
      </c>
      <c r="N160" s="8"/>
    </row>
    <row r="161" spans="1:14">
      <c r="A161" s="13">
        <v>46631</v>
      </c>
      <c r="B161" t="s">
        <v>26</v>
      </c>
      <c r="C161" t="s">
        <v>23</v>
      </c>
      <c r="D161" t="s">
        <v>28</v>
      </c>
      <c r="E161" s="7"/>
      <c r="F161" s="7"/>
      <c r="G161" s="7"/>
      <c r="H161" s="7"/>
      <c r="I161" s="7"/>
      <c r="J161" s="4">
        <f>IFERROR(I161-E161-F161+G161+H161,0)</f>
        <v>0</v>
      </c>
      <c r="K161" s="6">
        <f>IFERROR(J161/(E161+F161),0)</f>
        <v>0</v>
      </c>
      <c r="L161" s="6">
        <f>IFERROR(K161-SUMIFS($K$4:K161,$B$4:B161,B161,$C$4:C161,C161,$A$4:A161,EDATE(A161,-1)),K161)</f>
        <v>0</v>
      </c>
      <c r="M161" s="6">
        <f>IFERROR((I161+SUMIFS($G$4:G161,$B$4:B161,B161,$C$4:C161,C161,$A$4:A161,"&lt;="&amp;A161)+SUMIFS($H$4:H161,$B$4:B161,B161,$C$4:C161,C161,$A$4:A161,"&lt;="&amp;A161)-SUMIFS($F$4:F161,$B$4:B161,B161,$C$4:C161,C161,$A$4:A161,"&lt;="&amp;A161))/SUMIFS($F$4:F161,$B$4:B161,B161,$C$4:C161,C161,$A$4:A161,"&lt;="&amp;A161),0)</f>
        <v>0</v>
      </c>
      <c r="N161" s="8"/>
    </row>
    <row r="162" spans="1:14">
      <c r="A162" s="13">
        <v>46631</v>
      </c>
      <c r="B162" t="s">
        <v>29</v>
      </c>
      <c r="C162" t="s">
        <v>19</v>
      </c>
      <c r="D162" t="s">
        <v>30</v>
      </c>
      <c r="E162" s="7"/>
      <c r="F162" s="7"/>
      <c r="G162" s="7"/>
      <c r="H162" s="7"/>
      <c r="I162" s="7"/>
      <c r="J162" s="4">
        <f>IFERROR(I162-E162-F162+G162+H162,0)</f>
        <v>0</v>
      </c>
      <c r="K162" s="6">
        <f>IFERROR(J162/(E162+F162),0)</f>
        <v>0</v>
      </c>
      <c r="L162" s="6">
        <f>IFERROR(K162-SUMIFS($K$4:K162,$B$4:B162,B162,$C$4:C162,C162,$A$4:A162,EDATE(A162,-1)),K162)</f>
        <v>0</v>
      </c>
      <c r="M162" s="6">
        <f>IFERROR((I162+SUMIFS($G$4:G162,$B$4:B162,B162,$C$4:C162,C162,$A$4:A162,"&lt;="&amp;A162)+SUMIFS($H$4:H162,$B$4:B162,B162,$C$4:C162,C162,$A$4:A162,"&lt;="&amp;A162)-SUMIFS($F$4:F162,$B$4:B162,B162,$C$4:C162,C162,$A$4:A162,"&lt;="&amp;A162))/SUMIFS($F$4:F162,$B$4:B162,B162,$C$4:C162,C162,$A$4:A162,"&lt;="&amp;A162),0)</f>
        <v>0</v>
      </c>
      <c r="N162" s="8"/>
    </row>
    <row r="163" spans="1:14">
      <c r="A163" s="13">
        <v>46631</v>
      </c>
      <c r="B163" t="s">
        <v>29</v>
      </c>
      <c r="C163" t="s">
        <v>23</v>
      </c>
      <c r="D163" t="s">
        <v>31</v>
      </c>
      <c r="E163" s="7"/>
      <c r="F163" s="7"/>
      <c r="G163" s="7"/>
      <c r="H163" s="7"/>
      <c r="I163" s="7"/>
      <c r="J163" s="4">
        <f>IFERROR(I163-E163-F163+G163+H163,0)</f>
        <v>0</v>
      </c>
      <c r="K163" s="6">
        <f>IFERROR(J163/(E163+F163),0)</f>
        <v>0</v>
      </c>
      <c r="L163" s="6">
        <f>IFERROR(K163-SUMIFS($K$4:K163,$B$4:B163,B163,$C$4:C163,C163,$A$4:A163,EDATE(A163,-1)),K163)</f>
        <v>0</v>
      </c>
      <c r="M163" s="6">
        <f>IFERROR((I163+SUMIFS($G$4:G163,$B$4:B163,B163,$C$4:C163,C163,$A$4:A163,"&lt;="&amp;A163)+SUMIFS($H$4:H163,$B$4:B163,B163,$C$4:C163,C163,$A$4:A163,"&lt;="&amp;A163)-SUMIFS($F$4:F163,$B$4:B163,B163,$C$4:C163,C163,$A$4:A163,"&lt;="&amp;A163))/SUMIFS($F$4:F163,$B$4:B163,B163,$C$4:C163,C163,$A$4:A163,"&lt;="&amp;A163),0)</f>
        <v>0</v>
      </c>
      <c r="N163" s="8"/>
    </row>
    <row r="164" spans="1:14">
      <c r="A164" s="13">
        <v>46631</v>
      </c>
      <c r="B164" t="s">
        <v>32</v>
      </c>
      <c r="C164" t="s">
        <v>19</v>
      </c>
      <c r="D164" t="s">
        <v>33</v>
      </c>
      <c r="E164" s="7"/>
      <c r="F164" s="7"/>
      <c r="G164" s="7"/>
      <c r="H164" s="7"/>
      <c r="I164" s="7"/>
      <c r="J164" s="4">
        <f>IFERROR(I164-E164-F164+G164+H164,0)</f>
        <v>0</v>
      </c>
      <c r="K164" s="6">
        <f>IFERROR(J164/(E164+F164),0)</f>
        <v>0</v>
      </c>
      <c r="L164" s="6">
        <f>IFERROR(K164-SUMIFS($K$4:K164,$B$4:B164,B164,$C$4:C164,C164,$A$4:A164,EDATE(A164,-1)),K164)</f>
        <v>0</v>
      </c>
      <c r="M164" s="6">
        <f>IFERROR((I164+SUMIFS($G$4:G164,$B$4:B164,B164,$C$4:C164,C164,$A$4:A164,"&lt;="&amp;A164)+SUMIFS($H$4:H164,$B$4:B164,B164,$C$4:C164,C164,$A$4:A164,"&lt;="&amp;A164)-SUMIFS($F$4:F164,$B$4:B164,B164,$C$4:C164,C164,$A$4:A164,"&lt;="&amp;A164))/SUMIFS($F$4:F164,$B$4:B164,B164,$C$4:C164,C164,$A$4:A164,"&lt;="&amp;A164),0)</f>
        <v>0</v>
      </c>
      <c r="N164" s="8"/>
    </row>
    <row r="165" spans="1:14">
      <c r="A165" s="13">
        <v>46631</v>
      </c>
      <c r="B165" t="s">
        <v>32</v>
      </c>
      <c r="C165" t="s">
        <v>23</v>
      </c>
      <c r="D165" t="s">
        <v>34</v>
      </c>
      <c r="E165" s="7"/>
      <c r="F165" s="7"/>
      <c r="G165" s="7"/>
      <c r="H165" s="7"/>
      <c r="I165" s="7"/>
      <c r="J165" s="4">
        <f>IFERROR(I165-E165-F165+G165+H165,0)</f>
        <v>0</v>
      </c>
      <c r="K165" s="6">
        <f>IFERROR(J165/(E165+F165),0)</f>
        <v>0</v>
      </c>
      <c r="L165" s="6">
        <f>IFERROR(K165-SUMIFS($K$4:K165,$B$4:B165,B165,$C$4:C165,C165,$A$4:A165,EDATE(A165,-1)),K165)</f>
        <v>0</v>
      </c>
      <c r="M165" s="6">
        <f>IFERROR((I165+SUMIFS($G$4:G165,$B$4:B165,B165,$C$4:C165,C165,$A$4:A165,"&lt;="&amp;A165)+SUMIFS($H$4:H165,$B$4:B165,B165,$C$4:C165,C165,$A$4:A165,"&lt;="&amp;A165)-SUMIFS($F$4:F165,$B$4:B165,B165,$C$4:C165,C165,$A$4:A165,"&lt;="&amp;A165))/SUMIFS($F$4:F165,$B$4:B165,B165,$C$4:C165,C165,$A$4:A165,"&lt;="&amp;A165),0)</f>
        <v>0</v>
      </c>
      <c r="N165" s="8"/>
    </row>
    <row r="166" spans="1:14">
      <c r="A166" s="13">
        <v>46631</v>
      </c>
      <c r="B166" t="s">
        <v>35</v>
      </c>
      <c r="C166" t="s">
        <v>19</v>
      </c>
      <c r="D166" t="s">
        <v>36</v>
      </c>
      <c r="E166" s="7"/>
      <c r="F166" s="7"/>
      <c r="G166" s="7"/>
      <c r="H166" s="7"/>
      <c r="I166" s="7"/>
      <c r="J166" s="4">
        <f>IFERROR(I166-E166-F166+G166+H166,0)</f>
        <v>0</v>
      </c>
      <c r="K166" s="6">
        <f>IFERROR(J166/(E166+F166),0)</f>
        <v>0</v>
      </c>
      <c r="L166" s="6">
        <f>IFERROR(K166-SUMIFS($K$4:K166,$B$4:B166,B166,$C$4:C166,C166,$A$4:A166,EDATE(A166,-1)),K166)</f>
        <v>0</v>
      </c>
      <c r="M166" s="6">
        <f>IFERROR((I166+SUMIFS($G$4:G166,$B$4:B166,B166,$C$4:C166,C166,$A$4:A166,"&lt;="&amp;A166)+SUMIFS($H$4:H166,$B$4:B166,B166,$C$4:C166,C166,$A$4:A166,"&lt;="&amp;A166)-SUMIFS($F$4:F166,$B$4:B166,B166,$C$4:C166,C166,$A$4:A166,"&lt;="&amp;A166))/SUMIFS($F$4:F166,$B$4:B166,B166,$C$4:C166,C166,$A$4:A166,"&lt;="&amp;A166),0)</f>
        <v>0</v>
      </c>
      <c r="N166" s="8"/>
    </row>
    <row r="167" spans="1:14">
      <c r="A167" s="13">
        <v>46631</v>
      </c>
      <c r="B167" t="s">
        <v>35</v>
      </c>
      <c r="C167" t="s">
        <v>23</v>
      </c>
      <c r="D167" t="s">
        <v>37</v>
      </c>
      <c r="E167" s="7"/>
      <c r="F167" s="7"/>
      <c r="G167" s="7"/>
      <c r="H167" s="7"/>
      <c r="I167" s="7"/>
      <c r="J167" s="4">
        <f>IFERROR(I167-E167-F167+G167+H167,0)</f>
        <v>0</v>
      </c>
      <c r="K167" s="6">
        <f>IFERROR(J167/(E167+F167),0)</f>
        <v>0</v>
      </c>
      <c r="L167" s="6">
        <f>IFERROR(K167-SUMIFS($K$4:K167,$B$4:B167,B167,$C$4:C167,C167,$A$4:A167,EDATE(A167,-1)),K167)</f>
        <v>0</v>
      </c>
      <c r="M167" s="6">
        <f>IFERROR((I167+SUMIFS($G$4:G167,$B$4:B167,B167,$C$4:C167,C167,$A$4:A167,"&lt;="&amp;A167)+SUMIFS($H$4:H167,$B$4:B167,B167,$C$4:C167,C167,$A$4:A167,"&lt;="&amp;A167)-SUMIFS($F$4:F167,$B$4:B167,B167,$C$4:C167,C167,$A$4:A167,"&lt;="&amp;A167))/SUMIFS($F$4:F167,$B$4:B167,B167,$C$4:C167,C167,$A$4:A167,"&lt;="&amp;A167),0)</f>
        <v>0</v>
      </c>
      <c r="N167" s="8"/>
    </row>
    <row r="168" spans="1:14">
      <c r="A168" s="13">
        <v>46631</v>
      </c>
      <c r="B168" t="s">
        <v>38</v>
      </c>
      <c r="C168" t="s">
        <v>19</v>
      </c>
      <c r="D168" t="s">
        <v>39</v>
      </c>
      <c r="E168" s="7"/>
      <c r="F168" s="7"/>
      <c r="G168" s="7"/>
      <c r="H168" s="7"/>
      <c r="I168" s="7"/>
      <c r="J168" s="4">
        <f>IFERROR(I168-E168-F168+G168+H168,0)</f>
        <v>0</v>
      </c>
      <c r="K168" s="6">
        <f>IFERROR(J168/(E168+F168),0)</f>
        <v>0</v>
      </c>
      <c r="L168" s="6">
        <f>IFERROR(K168-SUMIFS($K$4:K168,$B$4:B168,B168,$C$4:C168,C168,$A$4:A168,EDATE(A168,-1)),K168)</f>
        <v>0</v>
      </c>
      <c r="M168" s="6">
        <f>IFERROR((I168+SUMIFS($G$4:G168,$B$4:B168,B168,$C$4:C168,C168,$A$4:A168,"&lt;="&amp;A168)+SUMIFS($H$4:H168,$B$4:B168,B168,$C$4:C168,C168,$A$4:A168,"&lt;="&amp;A168)-SUMIFS($F$4:F168,$B$4:B168,B168,$C$4:C168,C168,$A$4:A168,"&lt;="&amp;A168))/SUMIFS($F$4:F168,$B$4:B168,B168,$C$4:C168,C168,$A$4:A168,"&lt;="&amp;A168),0)</f>
        <v>0</v>
      </c>
      <c r="N168" s="8"/>
    </row>
    <row r="169" spans="1:14">
      <c r="A169" s="13">
        <v>46631</v>
      </c>
      <c r="B169" t="s">
        <v>38</v>
      </c>
      <c r="C169" t="s">
        <v>23</v>
      </c>
      <c r="D169" t="s">
        <v>40</v>
      </c>
      <c r="E169" s="7"/>
      <c r="F169" s="7"/>
      <c r="G169" s="7"/>
      <c r="H169" s="7"/>
      <c r="I169" s="7"/>
      <c r="J169" s="4">
        <f>IFERROR(I169-E169-F169+G169+H169,0)</f>
        <v>0</v>
      </c>
      <c r="K169" s="6">
        <f>IFERROR(J169/(E169+F169),0)</f>
        <v>0</v>
      </c>
      <c r="L169" s="6">
        <f>IFERROR(K169-SUMIFS($K$4:K169,$B$4:B169,B169,$C$4:C169,C169,$A$4:A169,EDATE(A169,-1)),K169)</f>
        <v>0</v>
      </c>
      <c r="M169" s="6">
        <f>IFERROR((I169+SUMIFS($G$4:G169,$B$4:B169,B169,$C$4:C169,C169,$A$4:A169,"&lt;="&amp;A169)+SUMIFS($H$4:H169,$B$4:B169,B169,$C$4:C169,C169,$A$4:A169,"&lt;="&amp;A169)-SUMIFS($F$4:F169,$B$4:B169,B169,$C$4:C169,C169,$A$4:A169,"&lt;="&amp;A169))/SUMIFS($F$4:F169,$B$4:B169,B169,$C$4:C169,C169,$A$4:A169,"&lt;="&amp;A169),0)</f>
        <v>0</v>
      </c>
      <c r="N169" s="8"/>
    </row>
    <row r="170" spans="1:14">
      <c r="A170" s="13">
        <v>46631</v>
      </c>
      <c r="B170" t="s">
        <v>41</v>
      </c>
      <c r="C170" t="s">
        <v>19</v>
      </c>
      <c r="D170" t="s">
        <v>42</v>
      </c>
      <c r="E170" s="7"/>
      <c r="F170" s="7"/>
      <c r="G170" s="7"/>
      <c r="H170" s="7"/>
      <c r="I170" s="7"/>
      <c r="J170" s="4">
        <f>IFERROR(I170-E170-F170+G170+H170,0)</f>
        <v>0</v>
      </c>
      <c r="K170" s="6">
        <f>IFERROR(J170/(E170+F170),0)</f>
        <v>0</v>
      </c>
      <c r="L170" s="6">
        <f>IFERROR(K170-SUMIFS($K$4:K170,$B$4:B170,B170,$C$4:C170,C170,$A$4:A170,EDATE(A170,-1)),K170)</f>
        <v>0</v>
      </c>
      <c r="M170" s="6">
        <f>IFERROR((I170+SUMIFS($G$4:G170,$B$4:B170,B170,$C$4:C170,C170,$A$4:A170,"&lt;="&amp;A170)+SUMIFS($H$4:H170,$B$4:B170,B170,$C$4:C170,C170,$A$4:A170,"&lt;="&amp;A170)-SUMIFS($F$4:F170,$B$4:B170,B170,$C$4:C170,C170,$A$4:A170,"&lt;="&amp;A170))/SUMIFS($F$4:F170,$B$4:B170,B170,$C$4:C170,C170,$A$4:A170,"&lt;="&amp;A170),0)</f>
        <v>0</v>
      </c>
      <c r="N170" s="8"/>
    </row>
    <row r="171" spans="1:14">
      <c r="A171" s="13">
        <v>46631</v>
      </c>
      <c r="B171" t="s">
        <v>41</v>
      </c>
      <c r="C171" t="s">
        <v>23</v>
      </c>
      <c r="D171" t="s">
        <v>43</v>
      </c>
      <c r="E171" s="7"/>
      <c r="F171" s="7"/>
      <c r="G171" s="7"/>
      <c r="H171" s="7"/>
      <c r="I171" s="7"/>
      <c r="J171" s="4">
        <f>IFERROR(I171-E171-F171+G171+H171,0)</f>
        <v>0</v>
      </c>
      <c r="K171" s="6">
        <f>IFERROR(J171/(E171+F171),0)</f>
        <v>0</v>
      </c>
      <c r="L171" s="6">
        <f>IFERROR(K171-SUMIFS($K$4:K171,$B$4:B171,B171,$C$4:C171,C171,$A$4:A171,EDATE(A171,-1)),K171)</f>
        <v>0</v>
      </c>
      <c r="M171" s="6">
        <f>IFERROR((I171+SUMIFS($G$4:G171,$B$4:B171,B171,$C$4:C171,C171,$A$4:A171,"&lt;="&amp;A171)+SUMIFS($H$4:H171,$B$4:B171,B171,$C$4:C171,C171,$A$4:A171,"&lt;="&amp;A171)-SUMIFS($F$4:F171,$B$4:B171,B171,$C$4:C171,C171,$A$4:A171,"&lt;="&amp;A171))/SUMIFS($F$4:F171,$B$4:B171,B171,$C$4:C171,C171,$A$4:A171,"&lt;="&amp;A171),0)</f>
        <v>0</v>
      </c>
      <c r="N171" s="8"/>
    </row>
    <row r="172" spans="1:14">
      <c r="A172" s="13">
        <v>46661</v>
      </c>
      <c r="B172" t="s">
        <v>18</v>
      </c>
      <c r="C172" t="s">
        <v>19</v>
      </c>
      <c r="D172" t="s">
        <v>21</v>
      </c>
      <c r="E172" s="7"/>
      <c r="F172" s="7"/>
      <c r="G172" s="7"/>
      <c r="H172" s="7"/>
      <c r="I172" s="7"/>
      <c r="J172" s="4">
        <f>IFERROR(I172-E172-F172+G172+H172,0)</f>
        <v>0</v>
      </c>
      <c r="K172" s="6">
        <f>IFERROR(J172/(E172+F172),0)</f>
        <v>0</v>
      </c>
      <c r="L172" s="6">
        <f>IFERROR(K172-SUMIFS($K$4:K172,$B$4:B172,B172,$C$4:C172,C172,$A$4:A172,EDATE(A172,-1)),K172)</f>
        <v>0</v>
      </c>
      <c r="M172" s="6">
        <f>IFERROR((I172+SUMIFS($G$4:G172,$B$4:B172,B172,$C$4:C172,C172,$A$4:A172,"&lt;="&amp;A172)+SUMIFS($H$4:H172,$B$4:B172,B172,$C$4:C172,C172,$A$4:A172,"&lt;="&amp;A172)-SUMIFS($F$4:F172,$B$4:B172,B172,$C$4:C172,C172,$A$4:A172,"&lt;="&amp;A172))/SUMIFS($F$4:F172,$B$4:B172,B172,$C$4:C172,C172,$A$4:A172,"&lt;="&amp;A172),0)</f>
        <v>0</v>
      </c>
      <c r="N172" s="8"/>
    </row>
    <row r="173" spans="1:14">
      <c r="A173" s="13">
        <v>46661</v>
      </c>
      <c r="B173" t="s">
        <v>18</v>
      </c>
      <c r="C173" t="s">
        <v>23</v>
      </c>
      <c r="D173" t="s">
        <v>24</v>
      </c>
      <c r="E173" s="7"/>
      <c r="F173" s="7"/>
      <c r="G173" s="7"/>
      <c r="H173" s="7"/>
      <c r="I173" s="7"/>
      <c r="J173" s="4">
        <f>IFERROR(I173-E173-F173+G173+H173,0)</f>
        <v>0</v>
      </c>
      <c r="K173" s="6">
        <f>IFERROR(J173/(E173+F173),0)</f>
        <v>0</v>
      </c>
      <c r="L173" s="6">
        <f>IFERROR(K173-SUMIFS($K$4:K173,$B$4:B173,B173,$C$4:C173,C173,$A$4:A173,EDATE(A173,-1)),K173)</f>
        <v>0</v>
      </c>
      <c r="M173" s="6">
        <f>IFERROR((I173+SUMIFS($G$4:G173,$B$4:B173,B173,$C$4:C173,C173,$A$4:A173,"&lt;="&amp;A173)+SUMIFS($H$4:H173,$B$4:B173,B173,$C$4:C173,C173,$A$4:A173,"&lt;="&amp;A173)-SUMIFS($F$4:F173,$B$4:B173,B173,$C$4:C173,C173,$A$4:A173,"&lt;="&amp;A173))/SUMIFS($F$4:F173,$B$4:B173,B173,$C$4:C173,C173,$A$4:A173,"&lt;="&amp;A173),0)</f>
        <v>0</v>
      </c>
      <c r="N173" s="8"/>
    </row>
    <row r="174" spans="1:14">
      <c r="A174" s="13">
        <v>46661</v>
      </c>
      <c r="B174" t="s">
        <v>26</v>
      </c>
      <c r="C174" t="s">
        <v>19</v>
      </c>
      <c r="D174" t="s">
        <v>27</v>
      </c>
      <c r="E174" s="7"/>
      <c r="F174" s="7"/>
      <c r="G174" s="7"/>
      <c r="H174" s="7"/>
      <c r="I174" s="7"/>
      <c r="J174" s="4">
        <f>IFERROR(I174-E174-F174+G174+H174,0)</f>
        <v>0</v>
      </c>
      <c r="K174" s="6">
        <f>IFERROR(J174/(E174+F174),0)</f>
        <v>0</v>
      </c>
      <c r="L174" s="6">
        <f>IFERROR(K174-SUMIFS($K$4:K174,$B$4:B174,B174,$C$4:C174,C174,$A$4:A174,EDATE(A174,-1)),K174)</f>
        <v>0</v>
      </c>
      <c r="M174" s="6">
        <f>IFERROR((I174+SUMIFS($G$4:G174,$B$4:B174,B174,$C$4:C174,C174,$A$4:A174,"&lt;="&amp;A174)+SUMIFS($H$4:H174,$B$4:B174,B174,$C$4:C174,C174,$A$4:A174,"&lt;="&amp;A174)-SUMIFS($F$4:F174,$B$4:B174,B174,$C$4:C174,C174,$A$4:A174,"&lt;="&amp;A174))/SUMIFS($F$4:F174,$B$4:B174,B174,$C$4:C174,C174,$A$4:A174,"&lt;="&amp;A174),0)</f>
        <v>0</v>
      </c>
      <c r="N174" s="8"/>
    </row>
    <row r="175" spans="1:14">
      <c r="A175" s="13">
        <v>46661</v>
      </c>
      <c r="B175" t="s">
        <v>26</v>
      </c>
      <c r="C175" t="s">
        <v>23</v>
      </c>
      <c r="D175" t="s">
        <v>28</v>
      </c>
      <c r="E175" s="7"/>
      <c r="F175" s="7"/>
      <c r="G175" s="7"/>
      <c r="H175" s="7"/>
      <c r="I175" s="7"/>
      <c r="J175" s="4">
        <f>IFERROR(I175-E175-F175+G175+H175,0)</f>
        <v>0</v>
      </c>
      <c r="K175" s="6">
        <f>IFERROR(J175/(E175+F175),0)</f>
        <v>0</v>
      </c>
      <c r="L175" s="6">
        <f>IFERROR(K175-SUMIFS($K$4:K175,$B$4:B175,B175,$C$4:C175,C175,$A$4:A175,EDATE(A175,-1)),K175)</f>
        <v>0</v>
      </c>
      <c r="M175" s="6">
        <f>IFERROR((I175+SUMIFS($G$4:G175,$B$4:B175,B175,$C$4:C175,C175,$A$4:A175,"&lt;="&amp;A175)+SUMIFS($H$4:H175,$B$4:B175,B175,$C$4:C175,C175,$A$4:A175,"&lt;="&amp;A175)-SUMIFS($F$4:F175,$B$4:B175,B175,$C$4:C175,C175,$A$4:A175,"&lt;="&amp;A175))/SUMIFS($F$4:F175,$B$4:B175,B175,$C$4:C175,C175,$A$4:A175,"&lt;="&amp;A175),0)</f>
        <v>0</v>
      </c>
      <c r="N175" s="8"/>
    </row>
    <row r="176" spans="1:14">
      <c r="A176" s="13">
        <v>46661</v>
      </c>
      <c r="B176" t="s">
        <v>29</v>
      </c>
      <c r="C176" t="s">
        <v>19</v>
      </c>
      <c r="D176" t="s">
        <v>30</v>
      </c>
      <c r="E176" s="7"/>
      <c r="F176" s="7"/>
      <c r="G176" s="7"/>
      <c r="H176" s="7"/>
      <c r="I176" s="7"/>
      <c r="J176" s="4">
        <f>IFERROR(I176-E176-F176+G176+H176,0)</f>
        <v>0</v>
      </c>
      <c r="K176" s="6">
        <f>IFERROR(J176/(E176+F176),0)</f>
        <v>0</v>
      </c>
      <c r="L176" s="6">
        <f>IFERROR(K176-SUMIFS($K$4:K176,$B$4:B176,B176,$C$4:C176,C176,$A$4:A176,EDATE(A176,-1)),K176)</f>
        <v>0</v>
      </c>
      <c r="M176" s="6">
        <f>IFERROR((I176+SUMIFS($G$4:G176,$B$4:B176,B176,$C$4:C176,C176,$A$4:A176,"&lt;="&amp;A176)+SUMIFS($H$4:H176,$B$4:B176,B176,$C$4:C176,C176,$A$4:A176,"&lt;="&amp;A176)-SUMIFS($F$4:F176,$B$4:B176,B176,$C$4:C176,C176,$A$4:A176,"&lt;="&amp;A176))/SUMIFS($F$4:F176,$B$4:B176,B176,$C$4:C176,C176,$A$4:A176,"&lt;="&amp;A176),0)</f>
        <v>0</v>
      </c>
      <c r="N176" s="8"/>
    </row>
    <row r="177" spans="1:14">
      <c r="A177" s="13">
        <v>46661</v>
      </c>
      <c r="B177" t="s">
        <v>29</v>
      </c>
      <c r="C177" t="s">
        <v>23</v>
      </c>
      <c r="D177" t="s">
        <v>31</v>
      </c>
      <c r="E177" s="7"/>
      <c r="F177" s="7"/>
      <c r="G177" s="7"/>
      <c r="H177" s="7"/>
      <c r="I177" s="7"/>
      <c r="J177" s="4">
        <f>IFERROR(I177-E177-F177+G177+H177,0)</f>
        <v>0</v>
      </c>
      <c r="K177" s="6">
        <f>IFERROR(J177/(E177+F177),0)</f>
        <v>0</v>
      </c>
      <c r="L177" s="6">
        <f>IFERROR(K177-SUMIFS($K$4:K177,$B$4:B177,B177,$C$4:C177,C177,$A$4:A177,EDATE(A177,-1)),K177)</f>
        <v>0</v>
      </c>
      <c r="M177" s="6">
        <f>IFERROR((I177+SUMIFS($G$4:G177,$B$4:B177,B177,$C$4:C177,C177,$A$4:A177,"&lt;="&amp;A177)+SUMIFS($H$4:H177,$B$4:B177,B177,$C$4:C177,C177,$A$4:A177,"&lt;="&amp;A177)-SUMIFS($F$4:F177,$B$4:B177,B177,$C$4:C177,C177,$A$4:A177,"&lt;="&amp;A177))/SUMIFS($F$4:F177,$B$4:B177,B177,$C$4:C177,C177,$A$4:A177,"&lt;="&amp;A177),0)</f>
        <v>0</v>
      </c>
      <c r="N177" s="8"/>
    </row>
    <row r="178" spans="1:14">
      <c r="A178" s="13">
        <v>46661</v>
      </c>
      <c r="B178" t="s">
        <v>32</v>
      </c>
      <c r="C178" t="s">
        <v>19</v>
      </c>
      <c r="D178" t="s">
        <v>33</v>
      </c>
      <c r="E178" s="7"/>
      <c r="F178" s="7"/>
      <c r="G178" s="7"/>
      <c r="H178" s="7"/>
      <c r="I178" s="7"/>
      <c r="J178" s="4">
        <f>IFERROR(I178-E178-F178+G178+H178,0)</f>
        <v>0</v>
      </c>
      <c r="K178" s="6">
        <f>IFERROR(J178/(E178+F178),0)</f>
        <v>0</v>
      </c>
      <c r="L178" s="6">
        <f>IFERROR(K178-SUMIFS($K$4:K178,$B$4:B178,B178,$C$4:C178,C178,$A$4:A178,EDATE(A178,-1)),K178)</f>
        <v>0</v>
      </c>
      <c r="M178" s="6">
        <f>IFERROR((I178+SUMIFS($G$4:G178,$B$4:B178,B178,$C$4:C178,C178,$A$4:A178,"&lt;="&amp;A178)+SUMIFS($H$4:H178,$B$4:B178,B178,$C$4:C178,C178,$A$4:A178,"&lt;="&amp;A178)-SUMIFS($F$4:F178,$B$4:B178,B178,$C$4:C178,C178,$A$4:A178,"&lt;="&amp;A178))/SUMIFS($F$4:F178,$B$4:B178,B178,$C$4:C178,C178,$A$4:A178,"&lt;="&amp;A178),0)</f>
        <v>0</v>
      </c>
      <c r="N178" s="8"/>
    </row>
    <row r="179" spans="1:14">
      <c r="A179" s="13">
        <v>46661</v>
      </c>
      <c r="B179" t="s">
        <v>32</v>
      </c>
      <c r="C179" t="s">
        <v>23</v>
      </c>
      <c r="D179" t="s">
        <v>34</v>
      </c>
      <c r="E179" s="7"/>
      <c r="F179" s="7"/>
      <c r="G179" s="7"/>
      <c r="H179" s="7"/>
      <c r="I179" s="7"/>
      <c r="J179" s="4">
        <f>IFERROR(I179-E179-F179+G179+H179,0)</f>
        <v>0</v>
      </c>
      <c r="K179" s="6">
        <f>IFERROR(J179/(E179+F179),0)</f>
        <v>0</v>
      </c>
      <c r="L179" s="6">
        <f>IFERROR(K179-SUMIFS($K$4:K179,$B$4:B179,B179,$C$4:C179,C179,$A$4:A179,EDATE(A179,-1)),K179)</f>
        <v>0</v>
      </c>
      <c r="M179" s="6">
        <f>IFERROR((I179+SUMIFS($G$4:G179,$B$4:B179,B179,$C$4:C179,C179,$A$4:A179,"&lt;="&amp;A179)+SUMIFS($H$4:H179,$B$4:B179,B179,$C$4:C179,C179,$A$4:A179,"&lt;="&amp;A179)-SUMIFS($F$4:F179,$B$4:B179,B179,$C$4:C179,C179,$A$4:A179,"&lt;="&amp;A179))/SUMIFS($F$4:F179,$B$4:B179,B179,$C$4:C179,C179,$A$4:A179,"&lt;="&amp;A179),0)</f>
        <v>0</v>
      </c>
      <c r="N179" s="8"/>
    </row>
    <row r="180" spans="1:14">
      <c r="A180" s="13">
        <v>46661</v>
      </c>
      <c r="B180" t="s">
        <v>35</v>
      </c>
      <c r="C180" t="s">
        <v>19</v>
      </c>
      <c r="D180" t="s">
        <v>36</v>
      </c>
      <c r="E180" s="7"/>
      <c r="F180" s="7"/>
      <c r="G180" s="7"/>
      <c r="H180" s="7"/>
      <c r="I180" s="7"/>
      <c r="J180" s="4">
        <f>IFERROR(I180-E180-F180+G180+H180,0)</f>
        <v>0</v>
      </c>
      <c r="K180" s="6">
        <f>IFERROR(J180/(E180+F180),0)</f>
        <v>0</v>
      </c>
      <c r="L180" s="6">
        <f>IFERROR(K180-SUMIFS($K$4:K180,$B$4:B180,B180,$C$4:C180,C180,$A$4:A180,EDATE(A180,-1)),K180)</f>
        <v>0</v>
      </c>
      <c r="M180" s="6">
        <f>IFERROR((I180+SUMIFS($G$4:G180,$B$4:B180,B180,$C$4:C180,C180,$A$4:A180,"&lt;="&amp;A180)+SUMIFS($H$4:H180,$B$4:B180,B180,$C$4:C180,C180,$A$4:A180,"&lt;="&amp;A180)-SUMIFS($F$4:F180,$B$4:B180,B180,$C$4:C180,C180,$A$4:A180,"&lt;="&amp;A180))/SUMIFS($F$4:F180,$B$4:B180,B180,$C$4:C180,C180,$A$4:A180,"&lt;="&amp;A180),0)</f>
        <v>0</v>
      </c>
      <c r="N180" s="8"/>
    </row>
    <row r="181" spans="1:14">
      <c r="A181" s="13">
        <v>46661</v>
      </c>
      <c r="B181" t="s">
        <v>35</v>
      </c>
      <c r="C181" t="s">
        <v>23</v>
      </c>
      <c r="D181" t="s">
        <v>37</v>
      </c>
      <c r="E181" s="7"/>
      <c r="F181" s="7"/>
      <c r="G181" s="7"/>
      <c r="H181" s="7"/>
      <c r="I181" s="7"/>
      <c r="J181" s="4">
        <f>IFERROR(I181-E181-F181+G181+H181,0)</f>
        <v>0</v>
      </c>
      <c r="K181" s="6">
        <f>IFERROR(J181/(E181+F181),0)</f>
        <v>0</v>
      </c>
      <c r="L181" s="6">
        <f>IFERROR(K181-SUMIFS($K$4:K181,$B$4:B181,B181,$C$4:C181,C181,$A$4:A181,EDATE(A181,-1)),K181)</f>
        <v>0</v>
      </c>
      <c r="M181" s="6">
        <f>IFERROR((I181+SUMIFS($G$4:G181,$B$4:B181,B181,$C$4:C181,C181,$A$4:A181,"&lt;="&amp;A181)+SUMIFS($H$4:H181,$B$4:B181,B181,$C$4:C181,C181,$A$4:A181,"&lt;="&amp;A181)-SUMIFS($F$4:F181,$B$4:B181,B181,$C$4:C181,C181,$A$4:A181,"&lt;="&amp;A181))/SUMIFS($F$4:F181,$B$4:B181,B181,$C$4:C181,C181,$A$4:A181,"&lt;="&amp;A181),0)</f>
        <v>0</v>
      </c>
      <c r="N181" s="8"/>
    </row>
    <row r="182" spans="1:14">
      <c r="A182" s="13">
        <v>46661</v>
      </c>
      <c r="B182" t="s">
        <v>38</v>
      </c>
      <c r="C182" t="s">
        <v>19</v>
      </c>
      <c r="D182" t="s">
        <v>39</v>
      </c>
      <c r="E182" s="7"/>
      <c r="F182" s="7"/>
      <c r="G182" s="7"/>
      <c r="H182" s="7"/>
      <c r="I182" s="7"/>
      <c r="J182" s="4">
        <f>IFERROR(I182-E182-F182+G182+H182,0)</f>
        <v>0</v>
      </c>
      <c r="K182" s="6">
        <f>IFERROR(J182/(E182+F182),0)</f>
        <v>0</v>
      </c>
      <c r="L182" s="6">
        <f>IFERROR(K182-SUMIFS($K$4:K182,$B$4:B182,B182,$C$4:C182,C182,$A$4:A182,EDATE(A182,-1)),K182)</f>
        <v>0</v>
      </c>
      <c r="M182" s="6">
        <f>IFERROR((I182+SUMIFS($G$4:G182,$B$4:B182,B182,$C$4:C182,C182,$A$4:A182,"&lt;="&amp;A182)+SUMIFS($H$4:H182,$B$4:B182,B182,$C$4:C182,C182,$A$4:A182,"&lt;="&amp;A182)-SUMIFS($F$4:F182,$B$4:B182,B182,$C$4:C182,C182,$A$4:A182,"&lt;="&amp;A182))/SUMIFS($F$4:F182,$B$4:B182,B182,$C$4:C182,C182,$A$4:A182,"&lt;="&amp;A182),0)</f>
        <v>0</v>
      </c>
      <c r="N182" s="8"/>
    </row>
    <row r="183" spans="1:14">
      <c r="A183" s="13">
        <v>46661</v>
      </c>
      <c r="B183" t="s">
        <v>38</v>
      </c>
      <c r="C183" t="s">
        <v>23</v>
      </c>
      <c r="D183" t="s">
        <v>40</v>
      </c>
      <c r="E183" s="7"/>
      <c r="F183" s="7"/>
      <c r="G183" s="7"/>
      <c r="H183" s="7"/>
      <c r="I183" s="7"/>
      <c r="J183" s="4">
        <f>IFERROR(I183-E183-F183+G183+H183,0)</f>
        <v>0</v>
      </c>
      <c r="K183" s="6">
        <f>IFERROR(J183/(E183+F183),0)</f>
        <v>0</v>
      </c>
      <c r="L183" s="6">
        <f>IFERROR(K183-SUMIFS($K$4:K183,$B$4:B183,B183,$C$4:C183,C183,$A$4:A183,EDATE(A183,-1)),K183)</f>
        <v>0</v>
      </c>
      <c r="M183" s="6">
        <f>IFERROR((I183+SUMIFS($G$4:G183,$B$4:B183,B183,$C$4:C183,C183,$A$4:A183,"&lt;="&amp;A183)+SUMIFS($H$4:H183,$B$4:B183,B183,$C$4:C183,C183,$A$4:A183,"&lt;="&amp;A183)-SUMIFS($F$4:F183,$B$4:B183,B183,$C$4:C183,C183,$A$4:A183,"&lt;="&amp;A183))/SUMIFS($F$4:F183,$B$4:B183,B183,$C$4:C183,C183,$A$4:A183,"&lt;="&amp;A183),0)</f>
        <v>0</v>
      </c>
      <c r="N183" s="8"/>
    </row>
    <row r="184" spans="1:14">
      <c r="A184" s="13">
        <v>46661</v>
      </c>
      <c r="B184" t="s">
        <v>41</v>
      </c>
      <c r="C184" t="s">
        <v>19</v>
      </c>
      <c r="D184" t="s">
        <v>42</v>
      </c>
      <c r="E184" s="7"/>
      <c r="F184" s="7"/>
      <c r="G184" s="7"/>
      <c r="H184" s="7"/>
      <c r="I184" s="7"/>
      <c r="J184" s="4">
        <f>IFERROR(I184-E184-F184+G184+H184,0)</f>
        <v>0</v>
      </c>
      <c r="K184" s="6">
        <f>IFERROR(J184/(E184+F184),0)</f>
        <v>0</v>
      </c>
      <c r="L184" s="6">
        <f>IFERROR(K184-SUMIFS($K$4:K184,$B$4:B184,B184,$C$4:C184,C184,$A$4:A184,EDATE(A184,-1)),K184)</f>
        <v>0</v>
      </c>
      <c r="M184" s="6">
        <f>IFERROR((I184+SUMIFS($G$4:G184,$B$4:B184,B184,$C$4:C184,C184,$A$4:A184,"&lt;="&amp;A184)+SUMIFS($H$4:H184,$B$4:B184,B184,$C$4:C184,C184,$A$4:A184,"&lt;="&amp;A184)-SUMIFS($F$4:F184,$B$4:B184,B184,$C$4:C184,C184,$A$4:A184,"&lt;="&amp;A184))/SUMIFS($F$4:F184,$B$4:B184,B184,$C$4:C184,C184,$A$4:A184,"&lt;="&amp;A184),0)</f>
        <v>0</v>
      </c>
      <c r="N184" s="8"/>
    </row>
    <row r="185" spans="1:14">
      <c r="A185" s="13">
        <v>46661</v>
      </c>
      <c r="B185" t="s">
        <v>41</v>
      </c>
      <c r="C185" t="s">
        <v>23</v>
      </c>
      <c r="D185" t="s">
        <v>43</v>
      </c>
      <c r="E185" s="7"/>
      <c r="F185" s="7"/>
      <c r="G185" s="7"/>
      <c r="H185" s="7"/>
      <c r="I185" s="7"/>
      <c r="J185" s="4">
        <f>IFERROR(I185-E185-F185+G185+H185,0)</f>
        <v>0</v>
      </c>
      <c r="K185" s="6">
        <f>IFERROR(J185/(E185+F185),0)</f>
        <v>0</v>
      </c>
      <c r="L185" s="6">
        <f>IFERROR(K185-SUMIFS($K$4:K185,$B$4:B185,B185,$C$4:C185,C185,$A$4:A185,EDATE(A185,-1)),K185)</f>
        <v>0</v>
      </c>
      <c r="M185" s="6">
        <f>IFERROR((I185+SUMIFS($G$4:G185,$B$4:B185,B185,$C$4:C185,C185,$A$4:A185,"&lt;="&amp;A185)+SUMIFS($H$4:H185,$B$4:B185,B185,$C$4:C185,C185,$A$4:A185,"&lt;="&amp;A185)-SUMIFS($F$4:F185,$B$4:B185,B185,$C$4:C185,C185,$A$4:A185,"&lt;="&amp;A185))/SUMIFS($F$4:F185,$B$4:B185,B185,$C$4:C185,C185,$A$4:A185,"&lt;="&amp;A185),0)</f>
        <v>0</v>
      </c>
      <c r="N185" s="8"/>
    </row>
    <row r="186" spans="1:14">
      <c r="A186" s="13">
        <v>46692</v>
      </c>
      <c r="B186" t="s">
        <v>18</v>
      </c>
      <c r="C186" t="s">
        <v>19</v>
      </c>
      <c r="D186" t="s">
        <v>21</v>
      </c>
      <c r="E186" s="7"/>
      <c r="F186" s="7"/>
      <c r="G186" s="7"/>
      <c r="H186" s="7"/>
      <c r="I186" s="7"/>
      <c r="J186" s="4">
        <f>IFERROR(I186-E186-F186+G186+H186,0)</f>
        <v>0</v>
      </c>
      <c r="K186" s="6">
        <f>IFERROR(J186/(E186+F186),0)</f>
        <v>0</v>
      </c>
      <c r="L186" s="6">
        <f>IFERROR(K186-SUMIFS($K$4:K186,$B$4:B186,B186,$C$4:C186,C186,$A$4:A186,EDATE(A186,-1)),K186)</f>
        <v>0</v>
      </c>
      <c r="M186" s="6">
        <f>IFERROR((I186+SUMIFS($G$4:G186,$B$4:B186,B186,$C$4:C186,C186,$A$4:A186,"&lt;="&amp;A186)+SUMIFS($H$4:H186,$B$4:B186,B186,$C$4:C186,C186,$A$4:A186,"&lt;="&amp;A186)-SUMIFS($F$4:F186,$B$4:B186,B186,$C$4:C186,C186,$A$4:A186,"&lt;="&amp;A186))/SUMIFS($F$4:F186,$B$4:B186,B186,$C$4:C186,C186,$A$4:A186,"&lt;="&amp;A186),0)</f>
        <v>0</v>
      </c>
      <c r="N186" s="8"/>
    </row>
    <row r="187" spans="1:14">
      <c r="A187" s="13">
        <v>46692</v>
      </c>
      <c r="B187" t="s">
        <v>18</v>
      </c>
      <c r="C187" t="s">
        <v>23</v>
      </c>
      <c r="D187" t="s">
        <v>24</v>
      </c>
      <c r="E187" s="7"/>
      <c r="F187" s="7"/>
      <c r="G187" s="7"/>
      <c r="H187" s="7"/>
      <c r="I187" s="7"/>
      <c r="J187" s="4">
        <f>IFERROR(I187-E187-F187+G187+H187,0)</f>
        <v>0</v>
      </c>
      <c r="K187" s="6">
        <f>IFERROR(J187/(E187+F187),0)</f>
        <v>0</v>
      </c>
      <c r="L187" s="6">
        <f>IFERROR(K187-SUMIFS($K$4:K187,$B$4:B187,B187,$C$4:C187,C187,$A$4:A187,EDATE(A187,-1)),K187)</f>
        <v>0</v>
      </c>
      <c r="M187" s="6">
        <f>IFERROR((I187+SUMIFS($G$4:G187,$B$4:B187,B187,$C$4:C187,C187,$A$4:A187,"&lt;="&amp;A187)+SUMIFS($H$4:H187,$B$4:B187,B187,$C$4:C187,C187,$A$4:A187,"&lt;="&amp;A187)-SUMIFS($F$4:F187,$B$4:B187,B187,$C$4:C187,C187,$A$4:A187,"&lt;="&amp;A187))/SUMIFS($F$4:F187,$B$4:B187,B187,$C$4:C187,C187,$A$4:A187,"&lt;="&amp;A187),0)</f>
        <v>0</v>
      </c>
      <c r="N187" s="8"/>
    </row>
    <row r="188" spans="1:14">
      <c r="A188" s="13">
        <v>46692</v>
      </c>
      <c r="B188" t="s">
        <v>26</v>
      </c>
      <c r="C188" t="s">
        <v>19</v>
      </c>
      <c r="D188" t="s">
        <v>27</v>
      </c>
      <c r="E188" s="7"/>
      <c r="F188" s="7"/>
      <c r="G188" s="7"/>
      <c r="H188" s="7"/>
      <c r="I188" s="7"/>
      <c r="J188" s="4">
        <f>IFERROR(I188-E188-F188+G188+H188,0)</f>
        <v>0</v>
      </c>
      <c r="K188" s="6">
        <f>IFERROR(J188/(E188+F188),0)</f>
        <v>0</v>
      </c>
      <c r="L188" s="6">
        <f>IFERROR(K188-SUMIFS($K$4:K188,$B$4:B188,B188,$C$4:C188,C188,$A$4:A188,EDATE(A188,-1)),K188)</f>
        <v>0</v>
      </c>
      <c r="M188" s="6">
        <f>IFERROR((I188+SUMIFS($G$4:G188,$B$4:B188,B188,$C$4:C188,C188,$A$4:A188,"&lt;="&amp;A188)+SUMIFS($H$4:H188,$B$4:B188,B188,$C$4:C188,C188,$A$4:A188,"&lt;="&amp;A188)-SUMIFS($F$4:F188,$B$4:B188,B188,$C$4:C188,C188,$A$4:A188,"&lt;="&amp;A188))/SUMIFS($F$4:F188,$B$4:B188,B188,$C$4:C188,C188,$A$4:A188,"&lt;="&amp;A188),0)</f>
        <v>0</v>
      </c>
      <c r="N188" s="8"/>
    </row>
    <row r="189" spans="1:14">
      <c r="A189" s="13">
        <v>46692</v>
      </c>
      <c r="B189" t="s">
        <v>26</v>
      </c>
      <c r="C189" t="s">
        <v>23</v>
      </c>
      <c r="D189" t="s">
        <v>28</v>
      </c>
      <c r="E189" s="7"/>
      <c r="F189" s="7"/>
      <c r="G189" s="7"/>
      <c r="H189" s="7"/>
      <c r="I189" s="7"/>
      <c r="J189" s="4">
        <f>IFERROR(I189-E189-F189+G189+H189,0)</f>
        <v>0</v>
      </c>
      <c r="K189" s="6">
        <f>IFERROR(J189/(E189+F189),0)</f>
        <v>0</v>
      </c>
      <c r="L189" s="6">
        <f>IFERROR(K189-SUMIFS($K$4:K189,$B$4:B189,B189,$C$4:C189,C189,$A$4:A189,EDATE(A189,-1)),K189)</f>
        <v>0</v>
      </c>
      <c r="M189" s="6">
        <f>IFERROR((I189+SUMIFS($G$4:G189,$B$4:B189,B189,$C$4:C189,C189,$A$4:A189,"&lt;="&amp;A189)+SUMIFS($H$4:H189,$B$4:B189,B189,$C$4:C189,C189,$A$4:A189,"&lt;="&amp;A189)-SUMIFS($F$4:F189,$B$4:B189,B189,$C$4:C189,C189,$A$4:A189,"&lt;="&amp;A189))/SUMIFS($F$4:F189,$B$4:B189,B189,$C$4:C189,C189,$A$4:A189,"&lt;="&amp;A189),0)</f>
        <v>0</v>
      </c>
      <c r="N189" s="8"/>
    </row>
    <row r="190" spans="1:14">
      <c r="A190" s="13">
        <v>46692</v>
      </c>
      <c r="B190" t="s">
        <v>29</v>
      </c>
      <c r="C190" t="s">
        <v>19</v>
      </c>
      <c r="D190" t="s">
        <v>30</v>
      </c>
      <c r="E190" s="7"/>
      <c r="F190" s="7"/>
      <c r="G190" s="7"/>
      <c r="H190" s="7"/>
      <c r="I190" s="7"/>
      <c r="J190" s="4">
        <f>IFERROR(I190-E190-F190+G190+H190,0)</f>
        <v>0</v>
      </c>
      <c r="K190" s="6">
        <f>IFERROR(J190/(E190+F190),0)</f>
        <v>0</v>
      </c>
      <c r="L190" s="6">
        <f>IFERROR(K190-SUMIFS($K$4:K190,$B$4:B190,B190,$C$4:C190,C190,$A$4:A190,EDATE(A190,-1)),K190)</f>
        <v>0</v>
      </c>
      <c r="M190" s="6">
        <f>IFERROR((I190+SUMIFS($G$4:G190,$B$4:B190,B190,$C$4:C190,C190,$A$4:A190,"&lt;="&amp;A190)+SUMIFS($H$4:H190,$B$4:B190,B190,$C$4:C190,C190,$A$4:A190,"&lt;="&amp;A190)-SUMIFS($F$4:F190,$B$4:B190,B190,$C$4:C190,C190,$A$4:A190,"&lt;="&amp;A190))/SUMIFS($F$4:F190,$B$4:B190,B190,$C$4:C190,C190,$A$4:A190,"&lt;="&amp;A190),0)</f>
        <v>0</v>
      </c>
      <c r="N190" s="8"/>
    </row>
    <row r="191" spans="1:14">
      <c r="A191" s="13">
        <v>46692</v>
      </c>
      <c r="B191" t="s">
        <v>29</v>
      </c>
      <c r="C191" t="s">
        <v>23</v>
      </c>
      <c r="D191" t="s">
        <v>31</v>
      </c>
      <c r="E191" s="7"/>
      <c r="F191" s="7"/>
      <c r="G191" s="7"/>
      <c r="H191" s="7"/>
      <c r="I191" s="7"/>
      <c r="J191" s="4">
        <f>IFERROR(I191-E191-F191+G191+H191,0)</f>
        <v>0</v>
      </c>
      <c r="K191" s="6">
        <f>IFERROR(J191/(E191+F191),0)</f>
        <v>0</v>
      </c>
      <c r="L191" s="6">
        <f>IFERROR(K191-SUMIFS($K$4:K191,$B$4:B191,B191,$C$4:C191,C191,$A$4:A191,EDATE(A191,-1)),K191)</f>
        <v>0</v>
      </c>
      <c r="M191" s="6">
        <f>IFERROR((I191+SUMIFS($G$4:G191,$B$4:B191,B191,$C$4:C191,C191,$A$4:A191,"&lt;="&amp;A191)+SUMIFS($H$4:H191,$B$4:B191,B191,$C$4:C191,C191,$A$4:A191,"&lt;="&amp;A191)-SUMIFS($F$4:F191,$B$4:B191,B191,$C$4:C191,C191,$A$4:A191,"&lt;="&amp;A191))/SUMIFS($F$4:F191,$B$4:B191,B191,$C$4:C191,C191,$A$4:A191,"&lt;="&amp;A191),0)</f>
        <v>0</v>
      </c>
      <c r="N191" s="8"/>
    </row>
    <row r="192" spans="1:14">
      <c r="A192" s="13">
        <v>46692</v>
      </c>
      <c r="B192" t="s">
        <v>32</v>
      </c>
      <c r="C192" t="s">
        <v>19</v>
      </c>
      <c r="D192" t="s">
        <v>33</v>
      </c>
      <c r="E192" s="7"/>
      <c r="F192" s="7"/>
      <c r="G192" s="7"/>
      <c r="H192" s="7"/>
      <c r="I192" s="7"/>
      <c r="J192" s="4">
        <f>IFERROR(I192-E192-F192+G192+H192,0)</f>
        <v>0</v>
      </c>
      <c r="K192" s="6">
        <f>IFERROR(J192/(E192+F192),0)</f>
        <v>0</v>
      </c>
      <c r="L192" s="6">
        <f>IFERROR(K192-SUMIFS($K$4:K192,$B$4:B192,B192,$C$4:C192,C192,$A$4:A192,EDATE(A192,-1)),K192)</f>
        <v>0</v>
      </c>
      <c r="M192" s="6">
        <f>IFERROR((I192+SUMIFS($G$4:G192,$B$4:B192,B192,$C$4:C192,C192,$A$4:A192,"&lt;="&amp;A192)+SUMIFS($H$4:H192,$B$4:B192,B192,$C$4:C192,C192,$A$4:A192,"&lt;="&amp;A192)-SUMIFS($F$4:F192,$B$4:B192,B192,$C$4:C192,C192,$A$4:A192,"&lt;="&amp;A192))/SUMIFS($F$4:F192,$B$4:B192,B192,$C$4:C192,C192,$A$4:A192,"&lt;="&amp;A192),0)</f>
        <v>0</v>
      </c>
      <c r="N192" s="8"/>
    </row>
    <row r="193" spans="1:14">
      <c r="A193" s="13">
        <v>46692</v>
      </c>
      <c r="B193" t="s">
        <v>32</v>
      </c>
      <c r="C193" t="s">
        <v>23</v>
      </c>
      <c r="D193" t="s">
        <v>34</v>
      </c>
      <c r="E193" s="7"/>
      <c r="F193" s="7"/>
      <c r="G193" s="7"/>
      <c r="H193" s="7"/>
      <c r="I193" s="7"/>
      <c r="J193" s="4">
        <f>IFERROR(I193-E193-F193+G193+H193,0)</f>
        <v>0</v>
      </c>
      <c r="K193" s="6">
        <f>IFERROR(J193/(E193+F193),0)</f>
        <v>0</v>
      </c>
      <c r="L193" s="6">
        <f>IFERROR(K193-SUMIFS($K$4:K193,$B$4:B193,B193,$C$4:C193,C193,$A$4:A193,EDATE(A193,-1)),K193)</f>
        <v>0</v>
      </c>
      <c r="M193" s="6">
        <f>IFERROR((I193+SUMIFS($G$4:G193,$B$4:B193,B193,$C$4:C193,C193,$A$4:A193,"&lt;="&amp;A193)+SUMIFS($H$4:H193,$B$4:B193,B193,$C$4:C193,C193,$A$4:A193,"&lt;="&amp;A193)-SUMIFS($F$4:F193,$B$4:B193,B193,$C$4:C193,C193,$A$4:A193,"&lt;="&amp;A193))/SUMIFS($F$4:F193,$B$4:B193,B193,$C$4:C193,C193,$A$4:A193,"&lt;="&amp;A193),0)</f>
        <v>0</v>
      </c>
      <c r="N193" s="8"/>
    </row>
    <row r="194" spans="1:14">
      <c r="A194" s="13">
        <v>46692</v>
      </c>
      <c r="B194" t="s">
        <v>35</v>
      </c>
      <c r="C194" t="s">
        <v>19</v>
      </c>
      <c r="D194" t="s">
        <v>36</v>
      </c>
      <c r="E194" s="7"/>
      <c r="F194" s="7"/>
      <c r="G194" s="7"/>
      <c r="H194" s="7"/>
      <c r="I194" s="7"/>
      <c r="J194" s="4">
        <f>IFERROR(I194-E194-F194+G194+H194,0)</f>
        <v>0</v>
      </c>
      <c r="K194" s="6">
        <f>IFERROR(J194/(E194+F194),0)</f>
        <v>0</v>
      </c>
      <c r="L194" s="6">
        <f>IFERROR(K194-SUMIFS($K$4:K194,$B$4:B194,B194,$C$4:C194,C194,$A$4:A194,EDATE(A194,-1)),K194)</f>
        <v>0</v>
      </c>
      <c r="M194" s="6">
        <f>IFERROR((I194+SUMIFS($G$4:G194,$B$4:B194,B194,$C$4:C194,C194,$A$4:A194,"&lt;="&amp;A194)+SUMIFS($H$4:H194,$B$4:B194,B194,$C$4:C194,C194,$A$4:A194,"&lt;="&amp;A194)-SUMIFS($F$4:F194,$B$4:B194,B194,$C$4:C194,C194,$A$4:A194,"&lt;="&amp;A194))/SUMIFS($F$4:F194,$B$4:B194,B194,$C$4:C194,C194,$A$4:A194,"&lt;="&amp;A194),0)</f>
        <v>0</v>
      </c>
      <c r="N194" s="8"/>
    </row>
    <row r="195" spans="1:14">
      <c r="A195" s="13">
        <v>46692</v>
      </c>
      <c r="B195" t="s">
        <v>35</v>
      </c>
      <c r="C195" t="s">
        <v>23</v>
      </c>
      <c r="D195" t="s">
        <v>37</v>
      </c>
      <c r="E195" s="7"/>
      <c r="F195" s="7"/>
      <c r="G195" s="7"/>
      <c r="H195" s="7"/>
      <c r="I195" s="7"/>
      <c r="J195" s="4">
        <f>IFERROR(I195-E195-F195+G195+H195,0)</f>
        <v>0</v>
      </c>
      <c r="K195" s="6">
        <f>IFERROR(J195/(E195+F195),0)</f>
        <v>0</v>
      </c>
      <c r="L195" s="6">
        <f>IFERROR(K195-SUMIFS($K$4:K195,$B$4:B195,B195,$C$4:C195,C195,$A$4:A195,EDATE(A195,-1)),K195)</f>
        <v>0</v>
      </c>
      <c r="M195" s="6">
        <f>IFERROR((I195+SUMIFS($G$4:G195,$B$4:B195,B195,$C$4:C195,C195,$A$4:A195,"&lt;="&amp;A195)+SUMIFS($H$4:H195,$B$4:B195,B195,$C$4:C195,C195,$A$4:A195,"&lt;="&amp;A195)-SUMIFS($F$4:F195,$B$4:B195,B195,$C$4:C195,C195,$A$4:A195,"&lt;="&amp;A195))/SUMIFS($F$4:F195,$B$4:B195,B195,$C$4:C195,C195,$A$4:A195,"&lt;="&amp;A195),0)</f>
        <v>0</v>
      </c>
      <c r="N195" s="8"/>
    </row>
    <row r="196" spans="1:14">
      <c r="A196" s="13">
        <v>46692</v>
      </c>
      <c r="B196" t="s">
        <v>38</v>
      </c>
      <c r="C196" t="s">
        <v>19</v>
      </c>
      <c r="D196" t="s">
        <v>39</v>
      </c>
      <c r="E196" s="7"/>
      <c r="F196" s="7"/>
      <c r="G196" s="7"/>
      <c r="H196" s="7"/>
      <c r="I196" s="7"/>
      <c r="J196" s="4">
        <f>IFERROR(I196-E196-F196+G196+H196,0)</f>
        <v>0</v>
      </c>
      <c r="K196" s="6">
        <f>IFERROR(J196/(E196+F196),0)</f>
        <v>0</v>
      </c>
      <c r="L196" s="6">
        <f>IFERROR(K196-SUMIFS($K$4:K196,$B$4:B196,B196,$C$4:C196,C196,$A$4:A196,EDATE(A196,-1)),K196)</f>
        <v>0</v>
      </c>
      <c r="M196" s="6">
        <f>IFERROR((I196+SUMIFS($G$4:G196,$B$4:B196,B196,$C$4:C196,C196,$A$4:A196,"&lt;="&amp;A196)+SUMIFS($H$4:H196,$B$4:B196,B196,$C$4:C196,C196,$A$4:A196,"&lt;="&amp;A196)-SUMIFS($F$4:F196,$B$4:B196,B196,$C$4:C196,C196,$A$4:A196,"&lt;="&amp;A196))/SUMIFS($F$4:F196,$B$4:B196,B196,$C$4:C196,C196,$A$4:A196,"&lt;="&amp;A196),0)</f>
        <v>0</v>
      </c>
      <c r="N196" s="8"/>
    </row>
    <row r="197" spans="1:14">
      <c r="A197" s="13">
        <v>46692</v>
      </c>
      <c r="B197" t="s">
        <v>38</v>
      </c>
      <c r="C197" t="s">
        <v>23</v>
      </c>
      <c r="D197" t="s">
        <v>40</v>
      </c>
      <c r="E197" s="7"/>
      <c r="F197" s="7"/>
      <c r="G197" s="7"/>
      <c r="H197" s="7"/>
      <c r="I197" s="7"/>
      <c r="J197" s="4">
        <f>IFERROR(I197-E197-F197+G197+H197,0)</f>
        <v>0</v>
      </c>
      <c r="K197" s="6">
        <f>IFERROR(J197/(E197+F197),0)</f>
        <v>0</v>
      </c>
      <c r="L197" s="6">
        <f>IFERROR(K197-SUMIFS($K$4:K197,$B$4:B197,B197,$C$4:C197,C197,$A$4:A197,EDATE(A197,-1)),K197)</f>
        <v>0</v>
      </c>
      <c r="M197" s="6">
        <f>IFERROR((I197+SUMIFS($G$4:G197,$B$4:B197,B197,$C$4:C197,C197,$A$4:A197,"&lt;="&amp;A197)+SUMIFS($H$4:H197,$B$4:B197,B197,$C$4:C197,C197,$A$4:A197,"&lt;="&amp;A197)-SUMIFS($F$4:F197,$B$4:B197,B197,$C$4:C197,C197,$A$4:A197,"&lt;="&amp;A197))/SUMIFS($F$4:F197,$B$4:B197,B197,$C$4:C197,C197,$A$4:A197,"&lt;="&amp;A197),0)</f>
        <v>0</v>
      </c>
      <c r="N197" s="8"/>
    </row>
    <row r="198" spans="1:14">
      <c r="A198" s="13">
        <v>46692</v>
      </c>
      <c r="B198" t="s">
        <v>41</v>
      </c>
      <c r="C198" t="s">
        <v>19</v>
      </c>
      <c r="D198" t="s">
        <v>42</v>
      </c>
      <c r="E198" s="7"/>
      <c r="F198" s="7"/>
      <c r="G198" s="7"/>
      <c r="H198" s="7"/>
      <c r="I198" s="7"/>
      <c r="J198" s="4">
        <f>IFERROR(I198-E198-F198+G198+H198,0)</f>
        <v>0</v>
      </c>
      <c r="K198" s="6">
        <f>IFERROR(J198/(E198+F198),0)</f>
        <v>0</v>
      </c>
      <c r="L198" s="6">
        <f>IFERROR(K198-SUMIFS($K$4:K198,$B$4:B198,B198,$C$4:C198,C198,$A$4:A198,EDATE(A198,-1)),K198)</f>
        <v>0</v>
      </c>
      <c r="M198" s="6">
        <f>IFERROR((I198+SUMIFS($G$4:G198,$B$4:B198,B198,$C$4:C198,C198,$A$4:A198,"&lt;="&amp;A198)+SUMIFS($H$4:H198,$B$4:B198,B198,$C$4:C198,C198,$A$4:A198,"&lt;="&amp;A198)-SUMIFS($F$4:F198,$B$4:B198,B198,$C$4:C198,C198,$A$4:A198,"&lt;="&amp;A198))/SUMIFS($F$4:F198,$B$4:B198,B198,$C$4:C198,C198,$A$4:A198,"&lt;="&amp;A198),0)</f>
        <v>0</v>
      </c>
      <c r="N198" s="8"/>
    </row>
    <row r="199" spans="1:14">
      <c r="A199" s="13">
        <v>46692</v>
      </c>
      <c r="B199" t="s">
        <v>41</v>
      </c>
      <c r="C199" t="s">
        <v>23</v>
      </c>
      <c r="D199" t="s">
        <v>43</v>
      </c>
      <c r="E199" s="7"/>
      <c r="F199" s="7"/>
      <c r="G199" s="7"/>
      <c r="H199" s="7"/>
      <c r="I199" s="7"/>
      <c r="J199" s="4">
        <f>IFERROR(I199-E199-F199+G199+H199,0)</f>
        <v>0</v>
      </c>
      <c r="K199" s="6">
        <f>IFERROR(J199/(E199+F199),0)</f>
        <v>0</v>
      </c>
      <c r="L199" s="6">
        <f>IFERROR(K199-SUMIFS($K$4:K199,$B$4:B199,B199,$C$4:C199,C199,$A$4:A199,EDATE(A199,-1)),K199)</f>
        <v>0</v>
      </c>
      <c r="M199" s="6">
        <f>IFERROR((I199+SUMIFS($G$4:G199,$B$4:B199,B199,$C$4:C199,C199,$A$4:A199,"&lt;="&amp;A199)+SUMIFS($H$4:H199,$B$4:B199,B199,$C$4:C199,C199,$A$4:A199,"&lt;="&amp;A199)-SUMIFS($F$4:F199,$B$4:B199,B199,$C$4:C199,C199,$A$4:A199,"&lt;="&amp;A199))/SUMIFS($F$4:F199,$B$4:B199,B199,$C$4:C199,C199,$A$4:A199,"&lt;="&amp;A199),0)</f>
        <v>0</v>
      </c>
      <c r="N199" s="8"/>
    </row>
    <row r="200" spans="1:14">
      <c r="A200" s="13">
        <v>46722</v>
      </c>
      <c r="B200" t="s">
        <v>18</v>
      </c>
      <c r="C200" t="s">
        <v>19</v>
      </c>
      <c r="D200" t="s">
        <v>21</v>
      </c>
      <c r="E200" s="7"/>
      <c r="F200" s="7"/>
      <c r="G200" s="7"/>
      <c r="H200" s="7"/>
      <c r="I200" s="7"/>
      <c r="J200" s="4">
        <f>IFERROR(I200-E200-F200+G200+H200,0)</f>
        <v>0</v>
      </c>
      <c r="K200" s="6">
        <f>IFERROR(J200/(E200+F200),0)</f>
        <v>0</v>
      </c>
      <c r="L200" s="6">
        <f>IFERROR(K200-SUMIFS($K$4:K200,$B$4:B200,B200,$C$4:C200,C200,$A$4:A200,EDATE(A200,-1)),K200)</f>
        <v>0</v>
      </c>
      <c r="M200" s="6">
        <f>IFERROR((I200+SUMIFS($G$4:G200,$B$4:B200,B200,$C$4:C200,C200,$A$4:A200,"&lt;="&amp;A200)+SUMIFS($H$4:H200,$B$4:B200,B200,$C$4:C200,C200,$A$4:A200,"&lt;="&amp;A200)-SUMIFS($F$4:F200,$B$4:B200,B200,$C$4:C200,C200,$A$4:A200,"&lt;="&amp;A200))/SUMIFS($F$4:F200,$B$4:B200,B200,$C$4:C200,C200,$A$4:A200,"&lt;="&amp;A200),0)</f>
        <v>0</v>
      </c>
      <c r="N200" s="8"/>
    </row>
    <row r="201" spans="1:14">
      <c r="A201" s="13">
        <v>46722</v>
      </c>
      <c r="B201" t="s">
        <v>18</v>
      </c>
      <c r="C201" t="s">
        <v>23</v>
      </c>
      <c r="D201" t="s">
        <v>24</v>
      </c>
      <c r="E201" s="7"/>
      <c r="F201" s="7"/>
      <c r="G201" s="7"/>
      <c r="H201" s="7"/>
      <c r="I201" s="7"/>
      <c r="J201" s="4">
        <f>IFERROR(I201-E201-F201+G201+H201,0)</f>
        <v>0</v>
      </c>
      <c r="K201" s="6">
        <f>IFERROR(J201/(E201+F201),0)</f>
        <v>0</v>
      </c>
      <c r="L201" s="6">
        <f>IFERROR(K201-SUMIFS($K$4:K201,$B$4:B201,B201,$C$4:C201,C201,$A$4:A201,EDATE(A201,-1)),K201)</f>
        <v>0</v>
      </c>
      <c r="M201" s="6">
        <f>IFERROR((I201+SUMIFS($G$4:G201,$B$4:B201,B201,$C$4:C201,C201,$A$4:A201,"&lt;="&amp;A201)+SUMIFS($H$4:H201,$B$4:B201,B201,$C$4:C201,C201,$A$4:A201,"&lt;="&amp;A201)-SUMIFS($F$4:F201,$B$4:B201,B201,$C$4:C201,C201,$A$4:A201,"&lt;="&amp;A201))/SUMIFS($F$4:F201,$B$4:B201,B201,$C$4:C201,C201,$A$4:A201,"&lt;="&amp;A201),0)</f>
        <v>0</v>
      </c>
      <c r="N201" s="8"/>
    </row>
    <row r="202" spans="1:14">
      <c r="A202" s="13">
        <v>46722</v>
      </c>
      <c r="B202" t="s">
        <v>26</v>
      </c>
      <c r="C202" t="s">
        <v>19</v>
      </c>
      <c r="D202" t="s">
        <v>27</v>
      </c>
      <c r="E202" s="7"/>
      <c r="F202" s="7"/>
      <c r="G202" s="7"/>
      <c r="H202" s="7"/>
      <c r="I202" s="7"/>
      <c r="J202" s="4">
        <f>IFERROR(I202-E202-F202+G202+H202,0)</f>
        <v>0</v>
      </c>
      <c r="K202" s="6">
        <f>IFERROR(J202/(E202+F202),0)</f>
        <v>0</v>
      </c>
      <c r="L202" s="6">
        <f>IFERROR(K202-SUMIFS($K$4:K202,$B$4:B202,B202,$C$4:C202,C202,$A$4:A202,EDATE(A202,-1)),K202)</f>
        <v>0</v>
      </c>
      <c r="M202" s="6">
        <f>IFERROR((I202+SUMIFS($G$4:G202,$B$4:B202,B202,$C$4:C202,C202,$A$4:A202,"&lt;="&amp;A202)+SUMIFS($H$4:H202,$B$4:B202,B202,$C$4:C202,C202,$A$4:A202,"&lt;="&amp;A202)-SUMIFS($F$4:F202,$B$4:B202,B202,$C$4:C202,C202,$A$4:A202,"&lt;="&amp;A202))/SUMIFS($F$4:F202,$B$4:B202,B202,$C$4:C202,C202,$A$4:A202,"&lt;="&amp;A202),0)</f>
        <v>0</v>
      </c>
      <c r="N202" s="8"/>
    </row>
    <row r="203" spans="1:14">
      <c r="A203" s="13">
        <v>46722</v>
      </c>
      <c r="B203" t="s">
        <v>26</v>
      </c>
      <c r="C203" t="s">
        <v>23</v>
      </c>
      <c r="D203" t="s">
        <v>28</v>
      </c>
      <c r="E203" s="7"/>
      <c r="F203" s="7"/>
      <c r="G203" s="7"/>
      <c r="H203" s="7"/>
      <c r="I203" s="7"/>
      <c r="J203" s="4">
        <f>IFERROR(I203-E203-F203+G203+H203,0)</f>
        <v>0</v>
      </c>
      <c r="K203" s="6">
        <f>IFERROR(J203/(E203+F203),0)</f>
        <v>0</v>
      </c>
      <c r="L203" s="6">
        <f>IFERROR(K203-SUMIFS($K$4:K203,$B$4:B203,B203,$C$4:C203,C203,$A$4:A203,EDATE(A203,-1)),K203)</f>
        <v>0</v>
      </c>
      <c r="M203" s="6">
        <f>IFERROR((I203+SUMIFS($G$4:G203,$B$4:B203,B203,$C$4:C203,C203,$A$4:A203,"&lt;="&amp;A203)+SUMIFS($H$4:H203,$B$4:B203,B203,$C$4:C203,C203,$A$4:A203,"&lt;="&amp;A203)-SUMIFS($F$4:F203,$B$4:B203,B203,$C$4:C203,C203,$A$4:A203,"&lt;="&amp;A203))/SUMIFS($F$4:F203,$B$4:B203,B203,$C$4:C203,C203,$A$4:A203,"&lt;="&amp;A203),0)</f>
        <v>0</v>
      </c>
      <c r="N203" s="8"/>
    </row>
    <row r="204" spans="1:14">
      <c r="A204" s="13">
        <v>46722</v>
      </c>
      <c r="B204" t="s">
        <v>29</v>
      </c>
      <c r="C204" t="s">
        <v>19</v>
      </c>
      <c r="D204" t="s">
        <v>30</v>
      </c>
      <c r="E204" s="7"/>
      <c r="F204" s="7"/>
      <c r="G204" s="7"/>
      <c r="H204" s="7"/>
      <c r="I204" s="7"/>
      <c r="J204" s="4">
        <f>IFERROR(I204-E204-F204+G204+H204,0)</f>
        <v>0</v>
      </c>
      <c r="K204" s="6">
        <f>IFERROR(J204/(E204+F204),0)</f>
        <v>0</v>
      </c>
      <c r="L204" s="6">
        <f>IFERROR(K204-SUMIFS($K$4:K204,$B$4:B204,B204,$C$4:C204,C204,$A$4:A204,EDATE(A204,-1)),K204)</f>
        <v>0</v>
      </c>
      <c r="M204" s="6">
        <f>IFERROR((I204+SUMIFS($G$4:G204,$B$4:B204,B204,$C$4:C204,C204,$A$4:A204,"&lt;="&amp;A204)+SUMIFS($H$4:H204,$B$4:B204,B204,$C$4:C204,C204,$A$4:A204,"&lt;="&amp;A204)-SUMIFS($F$4:F204,$B$4:B204,B204,$C$4:C204,C204,$A$4:A204,"&lt;="&amp;A204))/SUMIFS($F$4:F204,$B$4:B204,B204,$C$4:C204,C204,$A$4:A204,"&lt;="&amp;A204),0)</f>
        <v>0</v>
      </c>
      <c r="N204" s="8"/>
    </row>
    <row r="205" spans="1:14">
      <c r="A205" s="13">
        <v>46722</v>
      </c>
      <c r="B205" t="s">
        <v>29</v>
      </c>
      <c r="C205" t="s">
        <v>23</v>
      </c>
      <c r="D205" t="s">
        <v>31</v>
      </c>
      <c r="E205" s="7"/>
      <c r="F205" s="7"/>
      <c r="G205" s="7"/>
      <c r="H205" s="7"/>
      <c r="I205" s="7"/>
      <c r="J205" s="4">
        <f>IFERROR(I205-E205-F205+G205+H205,0)</f>
        <v>0</v>
      </c>
      <c r="K205" s="6">
        <f>IFERROR(J205/(E205+F205),0)</f>
        <v>0</v>
      </c>
      <c r="L205" s="6">
        <f>IFERROR(K205-SUMIFS($K$4:K205,$B$4:B205,B205,$C$4:C205,C205,$A$4:A205,EDATE(A205,-1)),K205)</f>
        <v>0</v>
      </c>
      <c r="M205" s="6">
        <f>IFERROR((I205+SUMIFS($G$4:G205,$B$4:B205,B205,$C$4:C205,C205,$A$4:A205,"&lt;="&amp;A205)+SUMIFS($H$4:H205,$B$4:B205,B205,$C$4:C205,C205,$A$4:A205,"&lt;="&amp;A205)-SUMIFS($F$4:F205,$B$4:B205,B205,$C$4:C205,C205,$A$4:A205,"&lt;="&amp;A205))/SUMIFS($F$4:F205,$B$4:B205,B205,$C$4:C205,C205,$A$4:A205,"&lt;="&amp;A205),0)</f>
        <v>0</v>
      </c>
      <c r="N205" s="8"/>
    </row>
    <row r="206" spans="1:14">
      <c r="A206" s="13">
        <v>46722</v>
      </c>
      <c r="B206" t="s">
        <v>32</v>
      </c>
      <c r="C206" t="s">
        <v>19</v>
      </c>
      <c r="D206" t="s">
        <v>33</v>
      </c>
      <c r="E206" s="7"/>
      <c r="F206" s="7"/>
      <c r="G206" s="7"/>
      <c r="H206" s="7"/>
      <c r="I206" s="7"/>
      <c r="J206" s="4">
        <f>IFERROR(I206-E206-F206+G206+H206,0)</f>
        <v>0</v>
      </c>
      <c r="K206" s="6">
        <f>IFERROR(J206/(E206+F206),0)</f>
        <v>0</v>
      </c>
      <c r="L206" s="6">
        <f>IFERROR(K206-SUMIFS($K$4:K206,$B$4:B206,B206,$C$4:C206,C206,$A$4:A206,EDATE(A206,-1)),K206)</f>
        <v>0</v>
      </c>
      <c r="M206" s="6">
        <f>IFERROR((I206+SUMIFS($G$4:G206,$B$4:B206,B206,$C$4:C206,C206,$A$4:A206,"&lt;="&amp;A206)+SUMIFS($H$4:H206,$B$4:B206,B206,$C$4:C206,C206,$A$4:A206,"&lt;="&amp;A206)-SUMIFS($F$4:F206,$B$4:B206,B206,$C$4:C206,C206,$A$4:A206,"&lt;="&amp;A206))/SUMIFS($F$4:F206,$B$4:B206,B206,$C$4:C206,C206,$A$4:A206,"&lt;="&amp;A206),0)</f>
        <v>0</v>
      </c>
      <c r="N206" s="8"/>
    </row>
    <row r="207" spans="1:14">
      <c r="A207" s="13">
        <v>46722</v>
      </c>
      <c r="B207" t="s">
        <v>32</v>
      </c>
      <c r="C207" t="s">
        <v>23</v>
      </c>
      <c r="D207" t="s">
        <v>34</v>
      </c>
      <c r="E207" s="7"/>
      <c r="F207" s="7"/>
      <c r="G207" s="7"/>
      <c r="H207" s="7"/>
      <c r="I207" s="7"/>
      <c r="J207" s="4">
        <f>IFERROR(I207-E207-F207+G207+H207,0)</f>
        <v>0</v>
      </c>
      <c r="K207" s="6">
        <f>IFERROR(J207/(E207+F207),0)</f>
        <v>0</v>
      </c>
      <c r="L207" s="6">
        <f>IFERROR(K207-SUMIFS($K$4:K207,$B$4:B207,B207,$C$4:C207,C207,$A$4:A207,EDATE(A207,-1)),K207)</f>
        <v>0</v>
      </c>
      <c r="M207" s="6">
        <f>IFERROR((I207+SUMIFS($G$4:G207,$B$4:B207,B207,$C$4:C207,C207,$A$4:A207,"&lt;="&amp;A207)+SUMIFS($H$4:H207,$B$4:B207,B207,$C$4:C207,C207,$A$4:A207,"&lt;="&amp;A207)-SUMIFS($F$4:F207,$B$4:B207,B207,$C$4:C207,C207,$A$4:A207,"&lt;="&amp;A207))/SUMIFS($F$4:F207,$B$4:B207,B207,$C$4:C207,C207,$A$4:A207,"&lt;="&amp;A207),0)</f>
        <v>0</v>
      </c>
      <c r="N207" s="8"/>
    </row>
    <row r="208" spans="1:14">
      <c r="A208" s="13">
        <v>46722</v>
      </c>
      <c r="B208" t="s">
        <v>35</v>
      </c>
      <c r="C208" t="s">
        <v>19</v>
      </c>
      <c r="D208" t="s">
        <v>36</v>
      </c>
      <c r="E208" s="7"/>
      <c r="F208" s="7"/>
      <c r="G208" s="7"/>
      <c r="H208" s="7"/>
      <c r="I208" s="7"/>
      <c r="J208" s="4">
        <f>IFERROR(I208-E208-F208+G208+H208,0)</f>
        <v>0</v>
      </c>
      <c r="K208" s="6">
        <f>IFERROR(J208/(E208+F208),0)</f>
        <v>0</v>
      </c>
      <c r="L208" s="6">
        <f>IFERROR(K208-SUMIFS($K$4:K208,$B$4:B208,B208,$C$4:C208,C208,$A$4:A208,EDATE(A208,-1)),K208)</f>
        <v>0</v>
      </c>
      <c r="M208" s="6">
        <f>IFERROR((I208+SUMIFS($G$4:G208,$B$4:B208,B208,$C$4:C208,C208,$A$4:A208,"&lt;="&amp;A208)+SUMIFS($H$4:H208,$B$4:B208,B208,$C$4:C208,C208,$A$4:A208,"&lt;="&amp;A208)-SUMIFS($F$4:F208,$B$4:B208,B208,$C$4:C208,C208,$A$4:A208,"&lt;="&amp;A208))/SUMIFS($F$4:F208,$B$4:B208,B208,$C$4:C208,C208,$A$4:A208,"&lt;="&amp;A208),0)</f>
        <v>0</v>
      </c>
      <c r="N208" s="8"/>
    </row>
    <row r="209" spans="1:14">
      <c r="A209" s="13">
        <v>46722</v>
      </c>
      <c r="B209" t="s">
        <v>35</v>
      </c>
      <c r="C209" t="s">
        <v>23</v>
      </c>
      <c r="D209" t="s">
        <v>37</v>
      </c>
      <c r="E209" s="7"/>
      <c r="F209" s="7"/>
      <c r="G209" s="7"/>
      <c r="H209" s="7"/>
      <c r="I209" s="7"/>
      <c r="J209" s="4">
        <f>IFERROR(I209-E209-F209+G209+H209,0)</f>
        <v>0</v>
      </c>
      <c r="K209" s="6">
        <f>IFERROR(J209/(E209+F209),0)</f>
        <v>0</v>
      </c>
      <c r="L209" s="6">
        <f>IFERROR(K209-SUMIFS($K$4:K209,$B$4:B209,B209,$C$4:C209,C209,$A$4:A209,EDATE(A209,-1)),K209)</f>
        <v>0</v>
      </c>
      <c r="M209" s="6">
        <f>IFERROR((I209+SUMIFS($G$4:G209,$B$4:B209,B209,$C$4:C209,C209,$A$4:A209,"&lt;="&amp;A209)+SUMIFS($H$4:H209,$B$4:B209,B209,$C$4:C209,C209,$A$4:A209,"&lt;="&amp;A209)-SUMIFS($F$4:F209,$B$4:B209,B209,$C$4:C209,C209,$A$4:A209,"&lt;="&amp;A209))/SUMIFS($F$4:F209,$B$4:B209,B209,$C$4:C209,C209,$A$4:A209,"&lt;="&amp;A209),0)</f>
        <v>0</v>
      </c>
      <c r="N209" s="8"/>
    </row>
    <row r="210" spans="1:14">
      <c r="A210" s="13">
        <v>46722</v>
      </c>
      <c r="B210" t="s">
        <v>38</v>
      </c>
      <c r="C210" t="s">
        <v>19</v>
      </c>
      <c r="D210" t="s">
        <v>39</v>
      </c>
      <c r="E210" s="7"/>
      <c r="F210" s="7"/>
      <c r="G210" s="7"/>
      <c r="H210" s="7"/>
      <c r="I210" s="7"/>
      <c r="J210" s="4">
        <f>IFERROR(I210-E210-F210+G210+H210,0)</f>
        <v>0</v>
      </c>
      <c r="K210" s="6">
        <f>IFERROR(J210/(E210+F210),0)</f>
        <v>0</v>
      </c>
      <c r="L210" s="6">
        <f>IFERROR(K210-SUMIFS($K$4:K210,$B$4:B210,B210,$C$4:C210,C210,$A$4:A210,EDATE(A210,-1)),K210)</f>
        <v>0</v>
      </c>
      <c r="M210" s="6">
        <f>IFERROR((I210+SUMIFS($G$4:G210,$B$4:B210,B210,$C$4:C210,C210,$A$4:A210,"&lt;="&amp;A210)+SUMIFS($H$4:H210,$B$4:B210,B210,$C$4:C210,C210,$A$4:A210,"&lt;="&amp;A210)-SUMIFS($F$4:F210,$B$4:B210,B210,$C$4:C210,C210,$A$4:A210,"&lt;="&amp;A210))/SUMIFS($F$4:F210,$B$4:B210,B210,$C$4:C210,C210,$A$4:A210,"&lt;="&amp;A210),0)</f>
        <v>0</v>
      </c>
      <c r="N210" s="8"/>
    </row>
    <row r="211" spans="1:14">
      <c r="A211" s="13">
        <v>46722</v>
      </c>
      <c r="B211" t="s">
        <v>38</v>
      </c>
      <c r="C211" t="s">
        <v>23</v>
      </c>
      <c r="D211" t="s">
        <v>40</v>
      </c>
      <c r="E211" s="7"/>
      <c r="F211" s="7"/>
      <c r="G211" s="7"/>
      <c r="H211" s="7"/>
      <c r="I211" s="7"/>
      <c r="J211" s="4">
        <f>IFERROR(I211-E211-F211+G211+H211,0)</f>
        <v>0</v>
      </c>
      <c r="K211" s="6">
        <f>IFERROR(J211/(E211+F211),0)</f>
        <v>0</v>
      </c>
      <c r="L211" s="6">
        <f>IFERROR(K211-SUMIFS($K$4:K211,$B$4:B211,B211,$C$4:C211,C211,$A$4:A211,EDATE(A211,-1)),K211)</f>
        <v>0</v>
      </c>
      <c r="M211" s="6">
        <f>IFERROR((I211+SUMIFS($G$4:G211,$B$4:B211,B211,$C$4:C211,C211,$A$4:A211,"&lt;="&amp;A211)+SUMIFS($H$4:H211,$B$4:B211,B211,$C$4:C211,C211,$A$4:A211,"&lt;="&amp;A211)-SUMIFS($F$4:F211,$B$4:B211,B211,$C$4:C211,C211,$A$4:A211,"&lt;="&amp;A211))/SUMIFS($F$4:F211,$B$4:B211,B211,$C$4:C211,C211,$A$4:A211,"&lt;="&amp;A211),0)</f>
        <v>0</v>
      </c>
      <c r="N211" s="8"/>
    </row>
    <row r="212" spans="1:14">
      <c r="A212" s="13">
        <v>46722</v>
      </c>
      <c r="B212" t="s">
        <v>41</v>
      </c>
      <c r="C212" t="s">
        <v>19</v>
      </c>
      <c r="D212" t="s">
        <v>42</v>
      </c>
      <c r="E212" s="7"/>
      <c r="F212" s="7"/>
      <c r="G212" s="7"/>
      <c r="H212" s="7"/>
      <c r="I212" s="7"/>
      <c r="J212" s="4">
        <f>IFERROR(I212-E212-F212+G212+H212,0)</f>
        <v>0</v>
      </c>
      <c r="K212" s="6">
        <f>IFERROR(J212/(E212+F212),0)</f>
        <v>0</v>
      </c>
      <c r="L212" s="6">
        <f>IFERROR(K212-SUMIFS($K$4:K212,$B$4:B212,B212,$C$4:C212,C212,$A$4:A212,EDATE(A212,-1)),K212)</f>
        <v>0</v>
      </c>
      <c r="M212" s="6">
        <f>IFERROR((I212+SUMIFS($G$4:G212,$B$4:B212,B212,$C$4:C212,C212,$A$4:A212,"&lt;="&amp;A212)+SUMIFS($H$4:H212,$B$4:B212,B212,$C$4:C212,C212,$A$4:A212,"&lt;="&amp;A212)-SUMIFS($F$4:F212,$B$4:B212,B212,$C$4:C212,C212,$A$4:A212,"&lt;="&amp;A212))/SUMIFS($F$4:F212,$B$4:B212,B212,$C$4:C212,C212,$A$4:A212,"&lt;="&amp;A212),0)</f>
        <v>0</v>
      </c>
      <c r="N212" s="8"/>
    </row>
    <row r="213" spans="1:14">
      <c r="A213" s="13">
        <v>46722</v>
      </c>
      <c r="B213" t="s">
        <v>41</v>
      </c>
      <c r="C213" t="s">
        <v>23</v>
      </c>
      <c r="D213" t="s">
        <v>43</v>
      </c>
      <c r="E213" s="7"/>
      <c r="F213" s="7"/>
      <c r="G213" s="7"/>
      <c r="H213" s="7"/>
      <c r="I213" s="7"/>
      <c r="J213" s="4">
        <f>IFERROR(I213-E213-F213+G213+H213,0)</f>
        <v>0</v>
      </c>
      <c r="K213" s="6">
        <f>IFERROR(J213/(E213+F213),0)</f>
        <v>0</v>
      </c>
      <c r="L213" s="6">
        <f>IFERROR(K213-SUMIFS($K$4:K213,$B$4:B213,B213,$C$4:C213,C213,$A$4:A213,EDATE(A213,-1)),K213)</f>
        <v>0</v>
      </c>
      <c r="M213" s="6">
        <f>IFERROR((I213+SUMIFS($G$4:G213,$B$4:B213,B213,$C$4:C213,C213,$A$4:A213,"&lt;="&amp;A213)+SUMIFS($H$4:H213,$B$4:B213,B213,$C$4:C213,C213,$A$4:A213,"&lt;="&amp;A213)-SUMIFS($F$4:F213,$B$4:B213,B213,$C$4:C213,C213,$A$4:A213,"&lt;="&amp;A213))/SUMIFS($F$4:F213,$B$4:B213,B213,$C$4:C213,C213,$A$4:A213,"&lt;="&amp;A213),0)</f>
        <v>0</v>
      </c>
      <c r="N213" s="8"/>
    </row>
    <row r="214" spans="1:14">
      <c r="A214" s="13">
        <v>46753</v>
      </c>
      <c r="B214" t="s">
        <v>18</v>
      </c>
      <c r="C214" t="s">
        <v>19</v>
      </c>
      <c r="D214" t="s">
        <v>21</v>
      </c>
      <c r="E214" s="7"/>
      <c r="F214" s="7"/>
      <c r="G214" s="7"/>
      <c r="H214" s="7"/>
      <c r="I214" s="7"/>
      <c r="J214" s="4">
        <f>IFERROR(I214-E214-F214+G214+H214,0)</f>
        <v>0</v>
      </c>
      <c r="K214" s="6">
        <f>IFERROR(J214/(E214+F214),0)</f>
        <v>0</v>
      </c>
      <c r="L214" s="6">
        <f>IFERROR(K214-SUMIFS($K$4:K214,$B$4:B214,B214,$C$4:C214,C214,$A$4:A214,EDATE(A214,-1)),K214)</f>
        <v>0</v>
      </c>
      <c r="M214" s="6">
        <f>IFERROR((I214+SUMIFS($G$4:G214,$B$4:B214,B214,$C$4:C214,C214,$A$4:A214,"&lt;="&amp;A214)+SUMIFS($H$4:H214,$B$4:B214,B214,$C$4:C214,C214,$A$4:A214,"&lt;="&amp;A214)-SUMIFS($F$4:F214,$B$4:B214,B214,$C$4:C214,C214,$A$4:A214,"&lt;="&amp;A214))/SUMIFS($F$4:F214,$B$4:B214,B214,$C$4:C214,C214,$A$4:A214,"&lt;="&amp;A214),0)</f>
        <v>0</v>
      </c>
      <c r="N214" s="8"/>
    </row>
    <row r="215" spans="1:14">
      <c r="A215" s="13">
        <v>46753</v>
      </c>
      <c r="B215" t="s">
        <v>18</v>
      </c>
      <c r="C215" t="s">
        <v>23</v>
      </c>
      <c r="D215" t="s">
        <v>24</v>
      </c>
      <c r="E215" s="7"/>
      <c r="F215" s="7"/>
      <c r="G215" s="7"/>
      <c r="H215" s="7"/>
      <c r="I215" s="7"/>
      <c r="J215" s="4">
        <f>IFERROR(I215-E215-F215+G215+H215,0)</f>
        <v>0</v>
      </c>
      <c r="K215" s="6">
        <f>IFERROR(J215/(E215+F215),0)</f>
        <v>0</v>
      </c>
      <c r="L215" s="6">
        <f>IFERROR(K215-SUMIFS($K$4:K215,$B$4:B215,B215,$C$4:C215,C215,$A$4:A215,EDATE(A215,-1)),K215)</f>
        <v>0</v>
      </c>
      <c r="M215" s="6">
        <f>IFERROR((I215+SUMIFS($G$4:G215,$B$4:B215,B215,$C$4:C215,C215,$A$4:A215,"&lt;="&amp;A215)+SUMIFS($H$4:H215,$B$4:B215,B215,$C$4:C215,C215,$A$4:A215,"&lt;="&amp;A215)-SUMIFS($F$4:F215,$B$4:B215,B215,$C$4:C215,C215,$A$4:A215,"&lt;="&amp;A215))/SUMIFS($F$4:F215,$B$4:B215,B215,$C$4:C215,C215,$A$4:A215,"&lt;="&amp;A215),0)</f>
        <v>0</v>
      </c>
      <c r="N215" s="8"/>
    </row>
    <row r="216" spans="1:14">
      <c r="A216" s="13">
        <v>46753</v>
      </c>
      <c r="B216" t="s">
        <v>26</v>
      </c>
      <c r="C216" t="s">
        <v>19</v>
      </c>
      <c r="D216" t="s">
        <v>27</v>
      </c>
      <c r="E216" s="7"/>
      <c r="F216" s="7"/>
      <c r="G216" s="7"/>
      <c r="H216" s="7"/>
      <c r="I216" s="7"/>
      <c r="J216" s="4">
        <f>IFERROR(I216-E216-F216+G216+H216,0)</f>
        <v>0</v>
      </c>
      <c r="K216" s="6">
        <f>IFERROR(J216/(E216+F216),0)</f>
        <v>0</v>
      </c>
      <c r="L216" s="6">
        <f>IFERROR(K216-SUMIFS($K$4:K216,$B$4:B216,B216,$C$4:C216,C216,$A$4:A216,EDATE(A216,-1)),K216)</f>
        <v>0</v>
      </c>
      <c r="M216" s="6">
        <f>IFERROR((I216+SUMIFS($G$4:G216,$B$4:B216,B216,$C$4:C216,C216,$A$4:A216,"&lt;="&amp;A216)+SUMIFS($H$4:H216,$B$4:B216,B216,$C$4:C216,C216,$A$4:A216,"&lt;="&amp;A216)-SUMIFS($F$4:F216,$B$4:B216,B216,$C$4:C216,C216,$A$4:A216,"&lt;="&amp;A216))/SUMIFS($F$4:F216,$B$4:B216,B216,$C$4:C216,C216,$A$4:A216,"&lt;="&amp;A216),0)</f>
        <v>0</v>
      </c>
      <c r="N216" s="8"/>
    </row>
    <row r="217" spans="1:14">
      <c r="A217" s="13">
        <v>46753</v>
      </c>
      <c r="B217" t="s">
        <v>26</v>
      </c>
      <c r="C217" t="s">
        <v>23</v>
      </c>
      <c r="D217" t="s">
        <v>28</v>
      </c>
      <c r="E217" s="7"/>
      <c r="F217" s="7"/>
      <c r="G217" s="7"/>
      <c r="H217" s="7"/>
      <c r="I217" s="7"/>
      <c r="J217" s="4">
        <f>IFERROR(I217-E217-F217+G217+H217,0)</f>
        <v>0</v>
      </c>
      <c r="K217" s="6">
        <f>IFERROR(J217/(E217+F217),0)</f>
        <v>0</v>
      </c>
      <c r="L217" s="6">
        <f>IFERROR(K217-SUMIFS($K$4:K217,$B$4:B217,B217,$C$4:C217,C217,$A$4:A217,EDATE(A217,-1)),K217)</f>
        <v>0</v>
      </c>
      <c r="M217" s="6">
        <f>IFERROR((I217+SUMIFS($G$4:G217,$B$4:B217,B217,$C$4:C217,C217,$A$4:A217,"&lt;="&amp;A217)+SUMIFS($H$4:H217,$B$4:B217,B217,$C$4:C217,C217,$A$4:A217,"&lt;="&amp;A217)-SUMIFS($F$4:F217,$B$4:B217,B217,$C$4:C217,C217,$A$4:A217,"&lt;="&amp;A217))/SUMIFS($F$4:F217,$B$4:B217,B217,$C$4:C217,C217,$A$4:A217,"&lt;="&amp;A217),0)</f>
        <v>0</v>
      </c>
      <c r="N217" s="8"/>
    </row>
    <row r="218" spans="1:14">
      <c r="A218" s="13">
        <v>46753</v>
      </c>
      <c r="B218" t="s">
        <v>29</v>
      </c>
      <c r="C218" t="s">
        <v>19</v>
      </c>
      <c r="D218" t="s">
        <v>30</v>
      </c>
      <c r="E218" s="7"/>
      <c r="F218" s="7"/>
      <c r="G218" s="7"/>
      <c r="H218" s="7"/>
      <c r="I218" s="7"/>
      <c r="J218" s="4">
        <f>IFERROR(I218-E218-F218+G218+H218,0)</f>
        <v>0</v>
      </c>
      <c r="K218" s="6">
        <f>IFERROR(J218/(E218+F218),0)</f>
        <v>0</v>
      </c>
      <c r="L218" s="6">
        <f>IFERROR(K218-SUMIFS($K$4:K218,$B$4:B218,B218,$C$4:C218,C218,$A$4:A218,EDATE(A218,-1)),K218)</f>
        <v>0</v>
      </c>
      <c r="M218" s="6">
        <f>IFERROR((I218+SUMIFS($G$4:G218,$B$4:B218,B218,$C$4:C218,C218,$A$4:A218,"&lt;="&amp;A218)+SUMIFS($H$4:H218,$B$4:B218,B218,$C$4:C218,C218,$A$4:A218,"&lt;="&amp;A218)-SUMIFS($F$4:F218,$B$4:B218,B218,$C$4:C218,C218,$A$4:A218,"&lt;="&amp;A218))/SUMIFS($F$4:F218,$B$4:B218,B218,$C$4:C218,C218,$A$4:A218,"&lt;="&amp;A218),0)</f>
        <v>0</v>
      </c>
      <c r="N218" s="8"/>
    </row>
    <row r="219" spans="1:14">
      <c r="A219" s="13">
        <v>46753</v>
      </c>
      <c r="B219" t="s">
        <v>29</v>
      </c>
      <c r="C219" t="s">
        <v>23</v>
      </c>
      <c r="D219" t="s">
        <v>31</v>
      </c>
      <c r="E219" s="7"/>
      <c r="F219" s="7"/>
      <c r="G219" s="7"/>
      <c r="H219" s="7"/>
      <c r="I219" s="7"/>
      <c r="J219" s="4">
        <f>IFERROR(I219-E219-F219+G219+H219,0)</f>
        <v>0</v>
      </c>
      <c r="K219" s="6">
        <f>IFERROR(J219/(E219+F219),0)</f>
        <v>0</v>
      </c>
      <c r="L219" s="6">
        <f>IFERROR(K219-SUMIFS($K$4:K219,$B$4:B219,B219,$C$4:C219,C219,$A$4:A219,EDATE(A219,-1)),K219)</f>
        <v>0</v>
      </c>
      <c r="M219" s="6">
        <f>IFERROR((I219+SUMIFS($G$4:G219,$B$4:B219,B219,$C$4:C219,C219,$A$4:A219,"&lt;="&amp;A219)+SUMIFS($H$4:H219,$B$4:B219,B219,$C$4:C219,C219,$A$4:A219,"&lt;="&amp;A219)-SUMIFS($F$4:F219,$B$4:B219,B219,$C$4:C219,C219,$A$4:A219,"&lt;="&amp;A219))/SUMIFS($F$4:F219,$B$4:B219,B219,$C$4:C219,C219,$A$4:A219,"&lt;="&amp;A219),0)</f>
        <v>0</v>
      </c>
      <c r="N219" s="8"/>
    </row>
    <row r="220" spans="1:14">
      <c r="A220" s="13">
        <v>46753</v>
      </c>
      <c r="B220" t="s">
        <v>32</v>
      </c>
      <c r="C220" t="s">
        <v>19</v>
      </c>
      <c r="D220" t="s">
        <v>33</v>
      </c>
      <c r="E220" s="7"/>
      <c r="F220" s="7"/>
      <c r="G220" s="7"/>
      <c r="H220" s="7"/>
      <c r="I220" s="7"/>
      <c r="J220" s="4">
        <f>IFERROR(I220-E220-F220+G220+H220,0)</f>
        <v>0</v>
      </c>
      <c r="K220" s="6">
        <f>IFERROR(J220/(E220+F220),0)</f>
        <v>0</v>
      </c>
      <c r="L220" s="6">
        <f>IFERROR(K220-SUMIFS($K$4:K220,$B$4:B220,B220,$C$4:C220,C220,$A$4:A220,EDATE(A220,-1)),K220)</f>
        <v>0</v>
      </c>
      <c r="M220" s="6">
        <f>IFERROR((I220+SUMIFS($G$4:G220,$B$4:B220,B220,$C$4:C220,C220,$A$4:A220,"&lt;="&amp;A220)+SUMIFS($H$4:H220,$B$4:B220,B220,$C$4:C220,C220,$A$4:A220,"&lt;="&amp;A220)-SUMIFS($F$4:F220,$B$4:B220,B220,$C$4:C220,C220,$A$4:A220,"&lt;="&amp;A220))/SUMIFS($F$4:F220,$B$4:B220,B220,$C$4:C220,C220,$A$4:A220,"&lt;="&amp;A220),0)</f>
        <v>0</v>
      </c>
      <c r="N220" s="8"/>
    </row>
    <row r="221" spans="1:14">
      <c r="A221" s="13">
        <v>46753</v>
      </c>
      <c r="B221" t="s">
        <v>32</v>
      </c>
      <c r="C221" t="s">
        <v>23</v>
      </c>
      <c r="D221" t="s">
        <v>34</v>
      </c>
      <c r="E221" s="7"/>
      <c r="F221" s="7"/>
      <c r="G221" s="7"/>
      <c r="H221" s="7"/>
      <c r="I221" s="7"/>
      <c r="J221" s="4">
        <f>IFERROR(I221-E221-F221+G221+H221,0)</f>
        <v>0</v>
      </c>
      <c r="K221" s="6">
        <f>IFERROR(J221/(E221+F221),0)</f>
        <v>0</v>
      </c>
      <c r="L221" s="6">
        <f>IFERROR(K221-SUMIFS($K$4:K221,$B$4:B221,B221,$C$4:C221,C221,$A$4:A221,EDATE(A221,-1)),K221)</f>
        <v>0</v>
      </c>
      <c r="M221" s="6">
        <f>IFERROR((I221+SUMIFS($G$4:G221,$B$4:B221,B221,$C$4:C221,C221,$A$4:A221,"&lt;="&amp;A221)+SUMIFS($H$4:H221,$B$4:B221,B221,$C$4:C221,C221,$A$4:A221,"&lt;="&amp;A221)-SUMIFS($F$4:F221,$B$4:B221,B221,$C$4:C221,C221,$A$4:A221,"&lt;="&amp;A221))/SUMIFS($F$4:F221,$B$4:B221,B221,$C$4:C221,C221,$A$4:A221,"&lt;="&amp;A221),0)</f>
        <v>0</v>
      </c>
      <c r="N221" s="8"/>
    </row>
    <row r="222" spans="1:14">
      <c r="A222" s="13">
        <v>46753</v>
      </c>
      <c r="B222" t="s">
        <v>35</v>
      </c>
      <c r="C222" t="s">
        <v>19</v>
      </c>
      <c r="D222" t="s">
        <v>36</v>
      </c>
      <c r="E222" s="7"/>
      <c r="F222" s="7"/>
      <c r="G222" s="7"/>
      <c r="H222" s="7"/>
      <c r="I222" s="7"/>
      <c r="J222" s="4">
        <f>IFERROR(I222-E222-F222+G222+H222,0)</f>
        <v>0</v>
      </c>
      <c r="K222" s="6">
        <f>IFERROR(J222/(E222+F222),0)</f>
        <v>0</v>
      </c>
      <c r="L222" s="6">
        <f>IFERROR(K222-SUMIFS($K$4:K222,$B$4:B222,B222,$C$4:C222,C222,$A$4:A222,EDATE(A222,-1)),K222)</f>
        <v>0</v>
      </c>
      <c r="M222" s="6">
        <f>IFERROR((I222+SUMIFS($G$4:G222,$B$4:B222,B222,$C$4:C222,C222,$A$4:A222,"&lt;="&amp;A222)+SUMIFS($H$4:H222,$B$4:B222,B222,$C$4:C222,C222,$A$4:A222,"&lt;="&amp;A222)-SUMIFS($F$4:F222,$B$4:B222,B222,$C$4:C222,C222,$A$4:A222,"&lt;="&amp;A222))/SUMIFS($F$4:F222,$B$4:B222,B222,$C$4:C222,C222,$A$4:A222,"&lt;="&amp;A222),0)</f>
        <v>0</v>
      </c>
      <c r="N222" s="8"/>
    </row>
    <row r="223" spans="1:14">
      <c r="A223" s="13">
        <v>46753</v>
      </c>
      <c r="B223" t="s">
        <v>35</v>
      </c>
      <c r="C223" t="s">
        <v>23</v>
      </c>
      <c r="D223" t="s">
        <v>37</v>
      </c>
      <c r="E223" s="7"/>
      <c r="F223" s="7"/>
      <c r="G223" s="7"/>
      <c r="H223" s="7"/>
      <c r="I223" s="7"/>
      <c r="J223" s="4">
        <f>IFERROR(I223-E223-F223+G223+H223,0)</f>
        <v>0</v>
      </c>
      <c r="K223" s="6">
        <f>IFERROR(J223/(E223+F223),0)</f>
        <v>0</v>
      </c>
      <c r="L223" s="6">
        <f>IFERROR(K223-SUMIFS($K$4:K223,$B$4:B223,B223,$C$4:C223,C223,$A$4:A223,EDATE(A223,-1)),K223)</f>
        <v>0</v>
      </c>
      <c r="M223" s="6">
        <f>IFERROR((I223+SUMIFS($G$4:G223,$B$4:B223,B223,$C$4:C223,C223,$A$4:A223,"&lt;="&amp;A223)+SUMIFS($H$4:H223,$B$4:B223,B223,$C$4:C223,C223,$A$4:A223,"&lt;="&amp;A223)-SUMIFS($F$4:F223,$B$4:B223,B223,$C$4:C223,C223,$A$4:A223,"&lt;="&amp;A223))/SUMIFS($F$4:F223,$B$4:B223,B223,$C$4:C223,C223,$A$4:A223,"&lt;="&amp;A223),0)</f>
        <v>0</v>
      </c>
      <c r="N223" s="8"/>
    </row>
    <row r="224" spans="1:14">
      <c r="A224" s="13">
        <v>46753</v>
      </c>
      <c r="B224" t="s">
        <v>38</v>
      </c>
      <c r="C224" t="s">
        <v>19</v>
      </c>
      <c r="D224" t="s">
        <v>39</v>
      </c>
      <c r="E224" s="7"/>
      <c r="F224" s="7"/>
      <c r="G224" s="7"/>
      <c r="H224" s="7"/>
      <c r="I224" s="7"/>
      <c r="J224" s="4">
        <f>IFERROR(I224-E224-F224+G224+H224,0)</f>
        <v>0</v>
      </c>
      <c r="K224" s="6">
        <f>IFERROR(J224/(E224+F224),0)</f>
        <v>0</v>
      </c>
      <c r="L224" s="6">
        <f>IFERROR(K224-SUMIFS($K$4:K224,$B$4:B224,B224,$C$4:C224,C224,$A$4:A224,EDATE(A224,-1)),K224)</f>
        <v>0</v>
      </c>
      <c r="M224" s="6">
        <f>IFERROR((I224+SUMIFS($G$4:G224,$B$4:B224,B224,$C$4:C224,C224,$A$4:A224,"&lt;="&amp;A224)+SUMIFS($H$4:H224,$B$4:B224,B224,$C$4:C224,C224,$A$4:A224,"&lt;="&amp;A224)-SUMIFS($F$4:F224,$B$4:B224,B224,$C$4:C224,C224,$A$4:A224,"&lt;="&amp;A224))/SUMIFS($F$4:F224,$B$4:B224,B224,$C$4:C224,C224,$A$4:A224,"&lt;="&amp;A224),0)</f>
        <v>0</v>
      </c>
      <c r="N224" s="8"/>
    </row>
    <row r="225" spans="1:14">
      <c r="A225" s="13">
        <v>46753</v>
      </c>
      <c r="B225" t="s">
        <v>38</v>
      </c>
      <c r="C225" t="s">
        <v>23</v>
      </c>
      <c r="D225" t="s">
        <v>40</v>
      </c>
      <c r="E225" s="7"/>
      <c r="F225" s="7"/>
      <c r="G225" s="7"/>
      <c r="H225" s="7"/>
      <c r="I225" s="7"/>
      <c r="J225" s="4">
        <f>IFERROR(I225-E225-F225+G225+H225,0)</f>
        <v>0</v>
      </c>
      <c r="K225" s="6">
        <f>IFERROR(J225/(E225+F225),0)</f>
        <v>0</v>
      </c>
      <c r="L225" s="6">
        <f>IFERROR(K225-SUMIFS($K$4:K225,$B$4:B225,B225,$C$4:C225,C225,$A$4:A225,EDATE(A225,-1)),K225)</f>
        <v>0</v>
      </c>
      <c r="M225" s="6">
        <f>IFERROR((I225+SUMIFS($G$4:G225,$B$4:B225,B225,$C$4:C225,C225,$A$4:A225,"&lt;="&amp;A225)+SUMIFS($H$4:H225,$B$4:B225,B225,$C$4:C225,C225,$A$4:A225,"&lt;="&amp;A225)-SUMIFS($F$4:F225,$B$4:B225,B225,$C$4:C225,C225,$A$4:A225,"&lt;="&amp;A225))/SUMIFS($F$4:F225,$B$4:B225,B225,$C$4:C225,C225,$A$4:A225,"&lt;="&amp;A225),0)</f>
        <v>0</v>
      </c>
      <c r="N225" s="8"/>
    </row>
    <row r="226" spans="1:14">
      <c r="A226" s="13">
        <v>46753</v>
      </c>
      <c r="B226" t="s">
        <v>41</v>
      </c>
      <c r="C226" t="s">
        <v>19</v>
      </c>
      <c r="D226" t="s">
        <v>42</v>
      </c>
      <c r="E226" s="7"/>
      <c r="F226" s="7"/>
      <c r="G226" s="7"/>
      <c r="H226" s="7"/>
      <c r="I226" s="7"/>
      <c r="J226" s="4">
        <f>IFERROR(I226-E226-F226+G226+H226,0)</f>
        <v>0</v>
      </c>
      <c r="K226" s="6">
        <f>IFERROR(J226/(E226+F226),0)</f>
        <v>0</v>
      </c>
      <c r="L226" s="6">
        <f>IFERROR(K226-SUMIFS($K$4:K226,$B$4:B226,B226,$C$4:C226,C226,$A$4:A226,EDATE(A226,-1)),K226)</f>
        <v>0</v>
      </c>
      <c r="M226" s="6">
        <f>IFERROR((I226+SUMIFS($G$4:G226,$B$4:B226,B226,$C$4:C226,C226,$A$4:A226,"&lt;="&amp;A226)+SUMIFS($H$4:H226,$B$4:B226,B226,$C$4:C226,C226,$A$4:A226,"&lt;="&amp;A226)-SUMIFS($F$4:F226,$B$4:B226,B226,$C$4:C226,C226,$A$4:A226,"&lt;="&amp;A226))/SUMIFS($F$4:F226,$B$4:B226,B226,$C$4:C226,C226,$A$4:A226,"&lt;="&amp;A226),0)</f>
        <v>0</v>
      </c>
      <c r="N226" s="8"/>
    </row>
    <row r="227" spans="1:14">
      <c r="A227" s="13">
        <v>46753</v>
      </c>
      <c r="B227" t="s">
        <v>41</v>
      </c>
      <c r="C227" t="s">
        <v>23</v>
      </c>
      <c r="D227" t="s">
        <v>43</v>
      </c>
      <c r="E227" s="7"/>
      <c r="F227" s="7"/>
      <c r="G227" s="7"/>
      <c r="H227" s="7"/>
      <c r="I227" s="7"/>
      <c r="J227" s="4">
        <f>IFERROR(I227-E227-F227+G227+H227,0)</f>
        <v>0</v>
      </c>
      <c r="K227" s="6">
        <f>IFERROR(J227/(E227+F227),0)</f>
        <v>0</v>
      </c>
      <c r="L227" s="6">
        <f>IFERROR(K227-SUMIFS($K$4:K227,$B$4:B227,B227,$C$4:C227,C227,$A$4:A227,EDATE(A227,-1)),K227)</f>
        <v>0</v>
      </c>
      <c r="M227" s="6">
        <f>IFERROR((I227+SUMIFS($G$4:G227,$B$4:B227,B227,$C$4:C227,C227,$A$4:A227,"&lt;="&amp;A227)+SUMIFS($H$4:H227,$B$4:B227,B227,$C$4:C227,C227,$A$4:A227,"&lt;="&amp;A227)-SUMIFS($F$4:F227,$B$4:B227,B227,$C$4:C227,C227,$A$4:A227,"&lt;="&amp;A227))/SUMIFS($F$4:F227,$B$4:B227,B227,$C$4:C227,C227,$A$4:A227,"&lt;="&amp;A227),0)</f>
        <v>0</v>
      </c>
      <c r="N227" s="8"/>
    </row>
    <row r="228" spans="1:14">
      <c r="A228" s="13">
        <v>46784</v>
      </c>
      <c r="B228" t="s">
        <v>18</v>
      </c>
      <c r="C228" t="s">
        <v>19</v>
      </c>
      <c r="D228" t="s">
        <v>21</v>
      </c>
      <c r="E228" s="7"/>
      <c r="F228" s="7"/>
      <c r="G228" s="7"/>
      <c r="H228" s="7"/>
      <c r="I228" s="7"/>
      <c r="J228" s="4">
        <f>IFERROR(I228-E228-F228+G228+H228,0)</f>
        <v>0</v>
      </c>
      <c r="K228" s="6">
        <f>IFERROR(J228/(E228+F228),0)</f>
        <v>0</v>
      </c>
      <c r="L228" s="6">
        <f>IFERROR(K228-SUMIFS($K$4:K228,$B$4:B228,B228,$C$4:C228,C228,$A$4:A228,EDATE(A228,-1)),K228)</f>
        <v>0</v>
      </c>
      <c r="M228" s="6">
        <f>IFERROR((I228+SUMIFS($G$4:G228,$B$4:B228,B228,$C$4:C228,C228,$A$4:A228,"&lt;="&amp;A228)+SUMIFS($H$4:H228,$B$4:B228,B228,$C$4:C228,C228,$A$4:A228,"&lt;="&amp;A228)-SUMIFS($F$4:F228,$B$4:B228,B228,$C$4:C228,C228,$A$4:A228,"&lt;="&amp;A228))/SUMIFS($F$4:F228,$B$4:B228,B228,$C$4:C228,C228,$A$4:A228,"&lt;="&amp;A228),0)</f>
        <v>0</v>
      </c>
      <c r="N228" s="8"/>
    </row>
    <row r="229" spans="1:14">
      <c r="A229" s="13">
        <v>46784</v>
      </c>
      <c r="B229" t="s">
        <v>18</v>
      </c>
      <c r="C229" t="s">
        <v>23</v>
      </c>
      <c r="D229" t="s">
        <v>24</v>
      </c>
      <c r="E229" s="7"/>
      <c r="F229" s="7"/>
      <c r="G229" s="7"/>
      <c r="H229" s="7"/>
      <c r="I229" s="7"/>
      <c r="J229" s="4">
        <f>IFERROR(I229-E229-F229+G229+H229,0)</f>
        <v>0</v>
      </c>
      <c r="K229" s="6">
        <f>IFERROR(J229/(E229+F229),0)</f>
        <v>0</v>
      </c>
      <c r="L229" s="6">
        <f>IFERROR(K229-SUMIFS($K$4:K229,$B$4:B229,B229,$C$4:C229,C229,$A$4:A229,EDATE(A229,-1)),K229)</f>
        <v>0</v>
      </c>
      <c r="M229" s="6">
        <f>IFERROR((I229+SUMIFS($G$4:G229,$B$4:B229,B229,$C$4:C229,C229,$A$4:A229,"&lt;="&amp;A229)+SUMIFS($H$4:H229,$B$4:B229,B229,$C$4:C229,C229,$A$4:A229,"&lt;="&amp;A229)-SUMIFS($F$4:F229,$B$4:B229,B229,$C$4:C229,C229,$A$4:A229,"&lt;="&amp;A229))/SUMIFS($F$4:F229,$B$4:B229,B229,$C$4:C229,C229,$A$4:A229,"&lt;="&amp;A229),0)</f>
        <v>0</v>
      </c>
      <c r="N229" s="8"/>
    </row>
    <row r="230" spans="1:14">
      <c r="A230" s="13">
        <v>46784</v>
      </c>
      <c r="B230" t="s">
        <v>26</v>
      </c>
      <c r="C230" t="s">
        <v>19</v>
      </c>
      <c r="D230" t="s">
        <v>27</v>
      </c>
      <c r="E230" s="7"/>
      <c r="F230" s="7"/>
      <c r="G230" s="7"/>
      <c r="H230" s="7"/>
      <c r="I230" s="7"/>
      <c r="J230" s="4">
        <f>IFERROR(I230-E230-F230+G230+H230,0)</f>
        <v>0</v>
      </c>
      <c r="K230" s="6">
        <f>IFERROR(J230/(E230+F230),0)</f>
        <v>0</v>
      </c>
      <c r="L230" s="6">
        <f>IFERROR(K230-SUMIFS($K$4:K230,$B$4:B230,B230,$C$4:C230,C230,$A$4:A230,EDATE(A230,-1)),K230)</f>
        <v>0</v>
      </c>
      <c r="M230" s="6">
        <f>IFERROR((I230+SUMIFS($G$4:G230,$B$4:B230,B230,$C$4:C230,C230,$A$4:A230,"&lt;="&amp;A230)+SUMIFS($H$4:H230,$B$4:B230,B230,$C$4:C230,C230,$A$4:A230,"&lt;="&amp;A230)-SUMIFS($F$4:F230,$B$4:B230,B230,$C$4:C230,C230,$A$4:A230,"&lt;="&amp;A230))/SUMIFS($F$4:F230,$B$4:B230,B230,$C$4:C230,C230,$A$4:A230,"&lt;="&amp;A230),0)</f>
        <v>0</v>
      </c>
      <c r="N230" s="8"/>
    </row>
    <row r="231" spans="1:14">
      <c r="A231" s="13">
        <v>46784</v>
      </c>
      <c r="B231" t="s">
        <v>26</v>
      </c>
      <c r="C231" t="s">
        <v>23</v>
      </c>
      <c r="D231" t="s">
        <v>28</v>
      </c>
      <c r="E231" s="7"/>
      <c r="F231" s="7"/>
      <c r="G231" s="7"/>
      <c r="H231" s="7"/>
      <c r="I231" s="7"/>
      <c r="J231" s="4">
        <f>IFERROR(I231-E231-F231+G231+H231,0)</f>
        <v>0</v>
      </c>
      <c r="K231" s="6">
        <f>IFERROR(J231/(E231+F231),0)</f>
        <v>0</v>
      </c>
      <c r="L231" s="6">
        <f>IFERROR(K231-SUMIFS($K$4:K231,$B$4:B231,B231,$C$4:C231,C231,$A$4:A231,EDATE(A231,-1)),K231)</f>
        <v>0</v>
      </c>
      <c r="M231" s="6">
        <f>IFERROR((I231+SUMIFS($G$4:G231,$B$4:B231,B231,$C$4:C231,C231,$A$4:A231,"&lt;="&amp;A231)+SUMIFS($H$4:H231,$B$4:B231,B231,$C$4:C231,C231,$A$4:A231,"&lt;="&amp;A231)-SUMIFS($F$4:F231,$B$4:B231,B231,$C$4:C231,C231,$A$4:A231,"&lt;="&amp;A231))/SUMIFS($F$4:F231,$B$4:B231,B231,$C$4:C231,C231,$A$4:A231,"&lt;="&amp;A231),0)</f>
        <v>0</v>
      </c>
      <c r="N231" s="8"/>
    </row>
    <row r="232" spans="1:14">
      <c r="A232" s="13">
        <v>46784</v>
      </c>
      <c r="B232" t="s">
        <v>29</v>
      </c>
      <c r="C232" t="s">
        <v>19</v>
      </c>
      <c r="D232" t="s">
        <v>30</v>
      </c>
      <c r="E232" s="7"/>
      <c r="F232" s="7"/>
      <c r="G232" s="7"/>
      <c r="H232" s="7"/>
      <c r="I232" s="7"/>
      <c r="J232" s="4">
        <f>IFERROR(I232-E232-F232+G232+H232,0)</f>
        <v>0</v>
      </c>
      <c r="K232" s="6">
        <f>IFERROR(J232/(E232+F232),0)</f>
        <v>0</v>
      </c>
      <c r="L232" s="6">
        <f>IFERROR(K232-SUMIFS($K$4:K232,$B$4:B232,B232,$C$4:C232,C232,$A$4:A232,EDATE(A232,-1)),K232)</f>
        <v>0</v>
      </c>
      <c r="M232" s="6">
        <f>IFERROR((I232+SUMIFS($G$4:G232,$B$4:B232,B232,$C$4:C232,C232,$A$4:A232,"&lt;="&amp;A232)+SUMIFS($H$4:H232,$B$4:B232,B232,$C$4:C232,C232,$A$4:A232,"&lt;="&amp;A232)-SUMIFS($F$4:F232,$B$4:B232,B232,$C$4:C232,C232,$A$4:A232,"&lt;="&amp;A232))/SUMIFS($F$4:F232,$B$4:B232,B232,$C$4:C232,C232,$A$4:A232,"&lt;="&amp;A232),0)</f>
        <v>0</v>
      </c>
      <c r="N232" s="8"/>
    </row>
    <row r="233" spans="1:14">
      <c r="A233" s="13">
        <v>46784</v>
      </c>
      <c r="B233" t="s">
        <v>29</v>
      </c>
      <c r="C233" t="s">
        <v>23</v>
      </c>
      <c r="D233" t="s">
        <v>31</v>
      </c>
      <c r="E233" s="7"/>
      <c r="F233" s="7"/>
      <c r="G233" s="7"/>
      <c r="H233" s="7"/>
      <c r="I233" s="7"/>
      <c r="J233" s="4">
        <f>IFERROR(I233-E233-F233+G233+H233,0)</f>
        <v>0</v>
      </c>
      <c r="K233" s="6">
        <f>IFERROR(J233/(E233+F233),0)</f>
        <v>0</v>
      </c>
      <c r="L233" s="6">
        <f>IFERROR(K233-SUMIFS($K$4:K233,$B$4:B233,B233,$C$4:C233,C233,$A$4:A233,EDATE(A233,-1)),K233)</f>
        <v>0</v>
      </c>
      <c r="M233" s="6">
        <f>IFERROR((I233+SUMIFS($G$4:G233,$B$4:B233,B233,$C$4:C233,C233,$A$4:A233,"&lt;="&amp;A233)+SUMIFS($H$4:H233,$B$4:B233,B233,$C$4:C233,C233,$A$4:A233,"&lt;="&amp;A233)-SUMIFS($F$4:F233,$B$4:B233,B233,$C$4:C233,C233,$A$4:A233,"&lt;="&amp;A233))/SUMIFS($F$4:F233,$B$4:B233,B233,$C$4:C233,C233,$A$4:A233,"&lt;="&amp;A233),0)</f>
        <v>0</v>
      </c>
      <c r="N233" s="8"/>
    </row>
    <row r="234" spans="1:14">
      <c r="A234" s="13">
        <v>46784</v>
      </c>
      <c r="B234" t="s">
        <v>32</v>
      </c>
      <c r="C234" t="s">
        <v>19</v>
      </c>
      <c r="D234" t="s">
        <v>33</v>
      </c>
      <c r="E234" s="7"/>
      <c r="F234" s="7"/>
      <c r="G234" s="7"/>
      <c r="H234" s="7"/>
      <c r="I234" s="7"/>
      <c r="J234" s="4">
        <f>IFERROR(I234-E234-F234+G234+H234,0)</f>
        <v>0</v>
      </c>
      <c r="K234" s="6">
        <f>IFERROR(J234/(E234+F234),0)</f>
        <v>0</v>
      </c>
      <c r="L234" s="6">
        <f>IFERROR(K234-SUMIFS($K$4:K234,$B$4:B234,B234,$C$4:C234,C234,$A$4:A234,EDATE(A234,-1)),K234)</f>
        <v>0</v>
      </c>
      <c r="M234" s="6">
        <f>IFERROR((I234+SUMIFS($G$4:G234,$B$4:B234,B234,$C$4:C234,C234,$A$4:A234,"&lt;="&amp;A234)+SUMIFS($H$4:H234,$B$4:B234,B234,$C$4:C234,C234,$A$4:A234,"&lt;="&amp;A234)-SUMIFS($F$4:F234,$B$4:B234,B234,$C$4:C234,C234,$A$4:A234,"&lt;="&amp;A234))/SUMIFS($F$4:F234,$B$4:B234,B234,$C$4:C234,C234,$A$4:A234,"&lt;="&amp;A234),0)</f>
        <v>0</v>
      </c>
      <c r="N234" s="8"/>
    </row>
    <row r="235" spans="1:14">
      <c r="A235" s="13">
        <v>46784</v>
      </c>
      <c r="B235" t="s">
        <v>32</v>
      </c>
      <c r="C235" t="s">
        <v>23</v>
      </c>
      <c r="D235" t="s">
        <v>34</v>
      </c>
      <c r="E235" s="7"/>
      <c r="F235" s="7"/>
      <c r="G235" s="7"/>
      <c r="H235" s="7"/>
      <c r="I235" s="7"/>
      <c r="J235" s="4">
        <f>IFERROR(I235-E235-F235+G235+H235,0)</f>
        <v>0</v>
      </c>
      <c r="K235" s="6">
        <f>IFERROR(J235/(E235+F235),0)</f>
        <v>0</v>
      </c>
      <c r="L235" s="6">
        <f>IFERROR(K235-SUMIFS($K$4:K235,$B$4:B235,B235,$C$4:C235,C235,$A$4:A235,EDATE(A235,-1)),K235)</f>
        <v>0</v>
      </c>
      <c r="M235" s="6">
        <f>IFERROR((I235+SUMIFS($G$4:G235,$B$4:B235,B235,$C$4:C235,C235,$A$4:A235,"&lt;="&amp;A235)+SUMIFS($H$4:H235,$B$4:B235,B235,$C$4:C235,C235,$A$4:A235,"&lt;="&amp;A235)-SUMIFS($F$4:F235,$B$4:B235,B235,$C$4:C235,C235,$A$4:A235,"&lt;="&amp;A235))/SUMIFS($F$4:F235,$B$4:B235,B235,$C$4:C235,C235,$A$4:A235,"&lt;="&amp;A235),0)</f>
        <v>0</v>
      </c>
      <c r="N235" s="8"/>
    </row>
    <row r="236" spans="1:14">
      <c r="A236" s="13">
        <v>46784</v>
      </c>
      <c r="B236" t="s">
        <v>35</v>
      </c>
      <c r="C236" t="s">
        <v>19</v>
      </c>
      <c r="D236" t="s">
        <v>36</v>
      </c>
      <c r="E236" s="7"/>
      <c r="F236" s="7"/>
      <c r="G236" s="7"/>
      <c r="H236" s="7"/>
      <c r="I236" s="7"/>
      <c r="J236" s="4">
        <f>IFERROR(I236-E236-F236+G236+H236,0)</f>
        <v>0</v>
      </c>
      <c r="K236" s="6">
        <f>IFERROR(J236/(E236+F236),0)</f>
        <v>0</v>
      </c>
      <c r="L236" s="6">
        <f>IFERROR(K236-SUMIFS($K$4:K236,$B$4:B236,B236,$C$4:C236,C236,$A$4:A236,EDATE(A236,-1)),K236)</f>
        <v>0</v>
      </c>
      <c r="M236" s="6">
        <f>IFERROR((I236+SUMIFS($G$4:G236,$B$4:B236,B236,$C$4:C236,C236,$A$4:A236,"&lt;="&amp;A236)+SUMIFS($H$4:H236,$B$4:B236,B236,$C$4:C236,C236,$A$4:A236,"&lt;="&amp;A236)-SUMIFS($F$4:F236,$B$4:B236,B236,$C$4:C236,C236,$A$4:A236,"&lt;="&amp;A236))/SUMIFS($F$4:F236,$B$4:B236,B236,$C$4:C236,C236,$A$4:A236,"&lt;="&amp;A236),0)</f>
        <v>0</v>
      </c>
      <c r="N236" s="8"/>
    </row>
    <row r="237" spans="1:14">
      <c r="A237" s="13">
        <v>46784</v>
      </c>
      <c r="B237" t="s">
        <v>35</v>
      </c>
      <c r="C237" t="s">
        <v>23</v>
      </c>
      <c r="D237" t="s">
        <v>37</v>
      </c>
      <c r="E237" s="7"/>
      <c r="F237" s="7"/>
      <c r="G237" s="7"/>
      <c r="H237" s="7"/>
      <c r="I237" s="7"/>
      <c r="J237" s="4">
        <f>IFERROR(I237-E237-F237+G237+H237,0)</f>
        <v>0</v>
      </c>
      <c r="K237" s="6">
        <f>IFERROR(J237/(E237+F237),0)</f>
        <v>0</v>
      </c>
      <c r="L237" s="6">
        <f>IFERROR(K237-SUMIFS($K$4:K237,$B$4:B237,B237,$C$4:C237,C237,$A$4:A237,EDATE(A237,-1)),K237)</f>
        <v>0</v>
      </c>
      <c r="M237" s="6">
        <f>IFERROR((I237+SUMIFS($G$4:G237,$B$4:B237,B237,$C$4:C237,C237,$A$4:A237,"&lt;="&amp;A237)+SUMIFS($H$4:H237,$B$4:B237,B237,$C$4:C237,C237,$A$4:A237,"&lt;="&amp;A237)-SUMIFS($F$4:F237,$B$4:B237,B237,$C$4:C237,C237,$A$4:A237,"&lt;="&amp;A237))/SUMIFS($F$4:F237,$B$4:B237,B237,$C$4:C237,C237,$A$4:A237,"&lt;="&amp;A237),0)</f>
        <v>0</v>
      </c>
      <c r="N237" s="8"/>
    </row>
    <row r="238" spans="1:14">
      <c r="A238" s="13">
        <v>46784</v>
      </c>
      <c r="B238" t="s">
        <v>38</v>
      </c>
      <c r="C238" t="s">
        <v>19</v>
      </c>
      <c r="D238" t="s">
        <v>39</v>
      </c>
      <c r="E238" s="7"/>
      <c r="F238" s="7"/>
      <c r="G238" s="7"/>
      <c r="H238" s="7"/>
      <c r="I238" s="7"/>
      <c r="J238" s="4">
        <f>IFERROR(I238-E238-F238+G238+H238,0)</f>
        <v>0</v>
      </c>
      <c r="K238" s="6">
        <f>IFERROR(J238/(E238+F238),0)</f>
        <v>0</v>
      </c>
      <c r="L238" s="6">
        <f>IFERROR(K238-SUMIFS($K$4:K238,$B$4:B238,B238,$C$4:C238,C238,$A$4:A238,EDATE(A238,-1)),K238)</f>
        <v>0</v>
      </c>
      <c r="M238" s="6">
        <f>IFERROR((I238+SUMIFS($G$4:G238,$B$4:B238,B238,$C$4:C238,C238,$A$4:A238,"&lt;="&amp;A238)+SUMIFS($H$4:H238,$B$4:B238,B238,$C$4:C238,C238,$A$4:A238,"&lt;="&amp;A238)-SUMIFS($F$4:F238,$B$4:B238,B238,$C$4:C238,C238,$A$4:A238,"&lt;="&amp;A238))/SUMIFS($F$4:F238,$B$4:B238,B238,$C$4:C238,C238,$A$4:A238,"&lt;="&amp;A238),0)</f>
        <v>0</v>
      </c>
      <c r="N238" s="8"/>
    </row>
    <row r="239" spans="1:14">
      <c r="A239" s="13">
        <v>46784</v>
      </c>
      <c r="B239" t="s">
        <v>38</v>
      </c>
      <c r="C239" t="s">
        <v>23</v>
      </c>
      <c r="D239" t="s">
        <v>40</v>
      </c>
      <c r="E239" s="7"/>
      <c r="F239" s="7"/>
      <c r="G239" s="7"/>
      <c r="H239" s="7"/>
      <c r="I239" s="7"/>
      <c r="J239" s="4">
        <f>IFERROR(I239-E239-F239+G239+H239,0)</f>
        <v>0</v>
      </c>
      <c r="K239" s="6">
        <f>IFERROR(J239/(E239+F239),0)</f>
        <v>0</v>
      </c>
      <c r="L239" s="6">
        <f>IFERROR(K239-SUMIFS($K$4:K239,$B$4:B239,B239,$C$4:C239,C239,$A$4:A239,EDATE(A239,-1)),K239)</f>
        <v>0</v>
      </c>
      <c r="M239" s="6">
        <f>IFERROR((I239+SUMIFS($G$4:G239,$B$4:B239,B239,$C$4:C239,C239,$A$4:A239,"&lt;="&amp;A239)+SUMIFS($H$4:H239,$B$4:B239,B239,$C$4:C239,C239,$A$4:A239,"&lt;="&amp;A239)-SUMIFS($F$4:F239,$B$4:B239,B239,$C$4:C239,C239,$A$4:A239,"&lt;="&amp;A239))/SUMIFS($F$4:F239,$B$4:B239,B239,$C$4:C239,C239,$A$4:A239,"&lt;="&amp;A239),0)</f>
        <v>0</v>
      </c>
      <c r="N239" s="8"/>
    </row>
    <row r="240" spans="1:14">
      <c r="A240" s="13">
        <v>46784</v>
      </c>
      <c r="B240" t="s">
        <v>41</v>
      </c>
      <c r="C240" t="s">
        <v>19</v>
      </c>
      <c r="D240" t="s">
        <v>42</v>
      </c>
      <c r="E240" s="7"/>
      <c r="F240" s="7"/>
      <c r="G240" s="7"/>
      <c r="H240" s="7"/>
      <c r="I240" s="7"/>
      <c r="J240" s="4">
        <f>IFERROR(I240-E240-F240+G240+H240,0)</f>
        <v>0</v>
      </c>
      <c r="K240" s="6">
        <f>IFERROR(J240/(E240+F240),0)</f>
        <v>0</v>
      </c>
      <c r="L240" s="6">
        <f>IFERROR(K240-SUMIFS($K$4:K240,$B$4:B240,B240,$C$4:C240,C240,$A$4:A240,EDATE(A240,-1)),K240)</f>
        <v>0</v>
      </c>
      <c r="M240" s="6">
        <f>IFERROR((I240+SUMIFS($G$4:G240,$B$4:B240,B240,$C$4:C240,C240,$A$4:A240,"&lt;="&amp;A240)+SUMIFS($H$4:H240,$B$4:B240,B240,$C$4:C240,C240,$A$4:A240,"&lt;="&amp;A240)-SUMIFS($F$4:F240,$B$4:B240,B240,$C$4:C240,C240,$A$4:A240,"&lt;="&amp;A240))/SUMIFS($F$4:F240,$B$4:B240,B240,$C$4:C240,C240,$A$4:A240,"&lt;="&amp;A240),0)</f>
        <v>0</v>
      </c>
      <c r="N240" s="8"/>
    </row>
    <row r="241" spans="1:14">
      <c r="A241" s="13">
        <v>46784</v>
      </c>
      <c r="B241" t="s">
        <v>41</v>
      </c>
      <c r="C241" t="s">
        <v>23</v>
      </c>
      <c r="D241" t="s">
        <v>43</v>
      </c>
      <c r="E241" s="7"/>
      <c r="F241" s="7"/>
      <c r="G241" s="7"/>
      <c r="H241" s="7"/>
      <c r="I241" s="7"/>
      <c r="J241" s="4">
        <f>IFERROR(I241-E241-F241+G241+H241,0)</f>
        <v>0</v>
      </c>
      <c r="K241" s="6">
        <f>IFERROR(J241/(E241+F241),0)</f>
        <v>0</v>
      </c>
      <c r="L241" s="6">
        <f>IFERROR(K241-SUMIFS($K$4:K241,$B$4:B241,B241,$C$4:C241,C241,$A$4:A241,EDATE(A241,-1)),K241)</f>
        <v>0</v>
      </c>
      <c r="M241" s="6">
        <f>IFERROR((I241+SUMIFS($G$4:G241,$B$4:B241,B241,$C$4:C241,C241,$A$4:A241,"&lt;="&amp;A241)+SUMIFS($H$4:H241,$B$4:B241,B241,$C$4:C241,C241,$A$4:A241,"&lt;="&amp;A241)-SUMIFS($F$4:F241,$B$4:B241,B241,$C$4:C241,C241,$A$4:A241,"&lt;="&amp;A241))/SUMIFS($F$4:F241,$B$4:B241,B241,$C$4:C241,C241,$A$4:A241,"&lt;="&amp;A241),0)</f>
        <v>0</v>
      </c>
      <c r="N241" s="8"/>
    </row>
    <row r="242" spans="1:14">
      <c r="A242" s="13">
        <v>46813</v>
      </c>
      <c r="B242" t="s">
        <v>18</v>
      </c>
      <c r="C242" t="s">
        <v>19</v>
      </c>
      <c r="D242" t="s">
        <v>21</v>
      </c>
      <c r="E242" s="7"/>
      <c r="F242" s="7"/>
      <c r="G242" s="7"/>
      <c r="H242" s="7"/>
      <c r="I242" s="7"/>
      <c r="J242" s="4">
        <f>IFERROR(I242-E242-F242+G242+H242,0)</f>
        <v>0</v>
      </c>
      <c r="K242" s="6">
        <f>IFERROR(J242/(E242+F242),0)</f>
        <v>0</v>
      </c>
      <c r="L242" s="6">
        <f>IFERROR(K242-SUMIFS($K$4:K242,$B$4:B242,B242,$C$4:C242,C242,$A$4:A242,EDATE(A242,-1)),K242)</f>
        <v>0</v>
      </c>
      <c r="M242" s="6">
        <f>IFERROR((I242+SUMIFS($G$4:G242,$B$4:B242,B242,$C$4:C242,C242,$A$4:A242,"&lt;="&amp;A242)+SUMIFS($H$4:H242,$B$4:B242,B242,$C$4:C242,C242,$A$4:A242,"&lt;="&amp;A242)-SUMIFS($F$4:F242,$B$4:B242,B242,$C$4:C242,C242,$A$4:A242,"&lt;="&amp;A242))/SUMIFS($F$4:F242,$B$4:B242,B242,$C$4:C242,C242,$A$4:A242,"&lt;="&amp;A242),0)</f>
        <v>0</v>
      </c>
      <c r="N242" s="8"/>
    </row>
    <row r="243" spans="1:14">
      <c r="A243" s="13">
        <v>46813</v>
      </c>
      <c r="B243" t="s">
        <v>18</v>
      </c>
      <c r="C243" t="s">
        <v>23</v>
      </c>
      <c r="D243" t="s">
        <v>24</v>
      </c>
      <c r="E243" s="7"/>
      <c r="F243" s="7"/>
      <c r="G243" s="7"/>
      <c r="H243" s="7"/>
      <c r="I243" s="7"/>
      <c r="J243" s="4">
        <f>IFERROR(I243-E243-F243+G243+H243,0)</f>
        <v>0</v>
      </c>
      <c r="K243" s="6">
        <f>IFERROR(J243/(E243+F243),0)</f>
        <v>0</v>
      </c>
      <c r="L243" s="6">
        <f>IFERROR(K243-SUMIFS($K$4:K243,$B$4:B243,B243,$C$4:C243,C243,$A$4:A243,EDATE(A243,-1)),K243)</f>
        <v>0</v>
      </c>
      <c r="M243" s="6">
        <f>IFERROR((I243+SUMIFS($G$4:G243,$B$4:B243,B243,$C$4:C243,C243,$A$4:A243,"&lt;="&amp;A243)+SUMIFS($H$4:H243,$B$4:B243,B243,$C$4:C243,C243,$A$4:A243,"&lt;="&amp;A243)-SUMIFS($F$4:F243,$B$4:B243,B243,$C$4:C243,C243,$A$4:A243,"&lt;="&amp;A243))/SUMIFS($F$4:F243,$B$4:B243,B243,$C$4:C243,C243,$A$4:A243,"&lt;="&amp;A243),0)</f>
        <v>0</v>
      </c>
      <c r="N243" s="8"/>
    </row>
    <row r="244" spans="1:14">
      <c r="A244" s="13">
        <v>46813</v>
      </c>
      <c r="B244" t="s">
        <v>26</v>
      </c>
      <c r="C244" t="s">
        <v>19</v>
      </c>
      <c r="D244" t="s">
        <v>27</v>
      </c>
      <c r="E244" s="7"/>
      <c r="F244" s="7"/>
      <c r="G244" s="7"/>
      <c r="H244" s="7"/>
      <c r="I244" s="7"/>
      <c r="J244" s="4">
        <f>IFERROR(I244-E244-F244+G244+H244,0)</f>
        <v>0</v>
      </c>
      <c r="K244" s="6">
        <f>IFERROR(J244/(E244+F244),0)</f>
        <v>0</v>
      </c>
      <c r="L244" s="6">
        <f>IFERROR(K244-SUMIFS($K$4:K244,$B$4:B244,B244,$C$4:C244,C244,$A$4:A244,EDATE(A244,-1)),K244)</f>
        <v>0</v>
      </c>
      <c r="M244" s="6">
        <f>IFERROR((I244+SUMIFS($G$4:G244,$B$4:B244,B244,$C$4:C244,C244,$A$4:A244,"&lt;="&amp;A244)+SUMIFS($H$4:H244,$B$4:B244,B244,$C$4:C244,C244,$A$4:A244,"&lt;="&amp;A244)-SUMIFS($F$4:F244,$B$4:B244,B244,$C$4:C244,C244,$A$4:A244,"&lt;="&amp;A244))/SUMIFS($F$4:F244,$B$4:B244,B244,$C$4:C244,C244,$A$4:A244,"&lt;="&amp;A244),0)</f>
        <v>0</v>
      </c>
      <c r="N244" s="8"/>
    </row>
    <row r="245" spans="1:14">
      <c r="A245" s="13">
        <v>46813</v>
      </c>
      <c r="B245" t="s">
        <v>26</v>
      </c>
      <c r="C245" t="s">
        <v>23</v>
      </c>
      <c r="D245" t="s">
        <v>28</v>
      </c>
      <c r="E245" s="7"/>
      <c r="F245" s="7"/>
      <c r="G245" s="7"/>
      <c r="H245" s="7"/>
      <c r="I245" s="7"/>
      <c r="J245" s="4">
        <f>IFERROR(I245-E245-F245+G245+H245,0)</f>
        <v>0</v>
      </c>
      <c r="K245" s="6">
        <f>IFERROR(J245/(E245+F245),0)</f>
        <v>0</v>
      </c>
      <c r="L245" s="6">
        <f>IFERROR(K245-SUMIFS($K$4:K245,$B$4:B245,B245,$C$4:C245,C245,$A$4:A245,EDATE(A245,-1)),K245)</f>
        <v>0</v>
      </c>
      <c r="M245" s="6">
        <f>IFERROR((I245+SUMIFS($G$4:G245,$B$4:B245,B245,$C$4:C245,C245,$A$4:A245,"&lt;="&amp;A245)+SUMIFS($H$4:H245,$B$4:B245,B245,$C$4:C245,C245,$A$4:A245,"&lt;="&amp;A245)-SUMIFS($F$4:F245,$B$4:B245,B245,$C$4:C245,C245,$A$4:A245,"&lt;="&amp;A245))/SUMIFS($F$4:F245,$B$4:B245,B245,$C$4:C245,C245,$A$4:A245,"&lt;="&amp;A245),0)</f>
        <v>0</v>
      </c>
      <c r="N245" s="8"/>
    </row>
    <row r="246" spans="1:14">
      <c r="A246" s="13">
        <v>46813</v>
      </c>
      <c r="B246" t="s">
        <v>29</v>
      </c>
      <c r="C246" t="s">
        <v>19</v>
      </c>
      <c r="D246" t="s">
        <v>30</v>
      </c>
      <c r="E246" s="7"/>
      <c r="F246" s="7"/>
      <c r="G246" s="7"/>
      <c r="H246" s="7"/>
      <c r="I246" s="7"/>
      <c r="J246" s="4">
        <f>IFERROR(I246-E246-F246+G246+H246,0)</f>
        <v>0</v>
      </c>
      <c r="K246" s="6">
        <f>IFERROR(J246/(E246+F246),0)</f>
        <v>0</v>
      </c>
      <c r="L246" s="6">
        <f>IFERROR(K246-SUMIFS($K$4:K246,$B$4:B246,B246,$C$4:C246,C246,$A$4:A246,EDATE(A246,-1)),K246)</f>
        <v>0</v>
      </c>
      <c r="M246" s="6">
        <f>IFERROR((I246+SUMIFS($G$4:G246,$B$4:B246,B246,$C$4:C246,C246,$A$4:A246,"&lt;="&amp;A246)+SUMIFS($H$4:H246,$B$4:B246,B246,$C$4:C246,C246,$A$4:A246,"&lt;="&amp;A246)-SUMIFS($F$4:F246,$B$4:B246,B246,$C$4:C246,C246,$A$4:A246,"&lt;="&amp;A246))/SUMIFS($F$4:F246,$B$4:B246,B246,$C$4:C246,C246,$A$4:A246,"&lt;="&amp;A246),0)</f>
        <v>0</v>
      </c>
      <c r="N246" s="8"/>
    </row>
    <row r="247" spans="1:14">
      <c r="A247" s="13">
        <v>46813</v>
      </c>
      <c r="B247" t="s">
        <v>29</v>
      </c>
      <c r="C247" t="s">
        <v>23</v>
      </c>
      <c r="D247" t="s">
        <v>31</v>
      </c>
      <c r="E247" s="7"/>
      <c r="F247" s="7"/>
      <c r="G247" s="7"/>
      <c r="H247" s="7"/>
      <c r="I247" s="7"/>
      <c r="J247" s="4">
        <f>IFERROR(I247-E247-F247+G247+H247,0)</f>
        <v>0</v>
      </c>
      <c r="K247" s="6">
        <f>IFERROR(J247/(E247+F247),0)</f>
        <v>0</v>
      </c>
      <c r="L247" s="6">
        <f>IFERROR(K247-SUMIFS($K$4:K247,$B$4:B247,B247,$C$4:C247,C247,$A$4:A247,EDATE(A247,-1)),K247)</f>
        <v>0</v>
      </c>
      <c r="M247" s="6">
        <f>IFERROR((I247+SUMIFS($G$4:G247,$B$4:B247,B247,$C$4:C247,C247,$A$4:A247,"&lt;="&amp;A247)+SUMIFS($H$4:H247,$B$4:B247,B247,$C$4:C247,C247,$A$4:A247,"&lt;="&amp;A247)-SUMIFS($F$4:F247,$B$4:B247,B247,$C$4:C247,C247,$A$4:A247,"&lt;="&amp;A247))/SUMIFS($F$4:F247,$B$4:B247,B247,$C$4:C247,C247,$A$4:A247,"&lt;="&amp;A247),0)</f>
        <v>0</v>
      </c>
      <c r="N247" s="8"/>
    </row>
    <row r="248" spans="1:14">
      <c r="A248" s="13">
        <v>46813</v>
      </c>
      <c r="B248" t="s">
        <v>32</v>
      </c>
      <c r="C248" t="s">
        <v>19</v>
      </c>
      <c r="D248" t="s">
        <v>33</v>
      </c>
      <c r="E248" s="7"/>
      <c r="F248" s="7"/>
      <c r="G248" s="7"/>
      <c r="H248" s="7"/>
      <c r="I248" s="7"/>
      <c r="J248" s="4">
        <f>IFERROR(I248-E248-F248+G248+H248,0)</f>
        <v>0</v>
      </c>
      <c r="K248" s="6">
        <f>IFERROR(J248/(E248+F248),0)</f>
        <v>0</v>
      </c>
      <c r="L248" s="6">
        <f>IFERROR(K248-SUMIFS($K$4:K248,$B$4:B248,B248,$C$4:C248,C248,$A$4:A248,EDATE(A248,-1)),K248)</f>
        <v>0</v>
      </c>
      <c r="M248" s="6">
        <f>IFERROR((I248+SUMIFS($G$4:G248,$B$4:B248,B248,$C$4:C248,C248,$A$4:A248,"&lt;="&amp;A248)+SUMIFS($H$4:H248,$B$4:B248,B248,$C$4:C248,C248,$A$4:A248,"&lt;="&amp;A248)-SUMIFS($F$4:F248,$B$4:B248,B248,$C$4:C248,C248,$A$4:A248,"&lt;="&amp;A248))/SUMIFS($F$4:F248,$B$4:B248,B248,$C$4:C248,C248,$A$4:A248,"&lt;="&amp;A248),0)</f>
        <v>0</v>
      </c>
      <c r="N248" s="8"/>
    </row>
    <row r="249" spans="1:14">
      <c r="A249" s="13">
        <v>46813</v>
      </c>
      <c r="B249" t="s">
        <v>32</v>
      </c>
      <c r="C249" t="s">
        <v>23</v>
      </c>
      <c r="D249" t="s">
        <v>34</v>
      </c>
      <c r="E249" s="7"/>
      <c r="F249" s="7"/>
      <c r="G249" s="7"/>
      <c r="H249" s="7"/>
      <c r="I249" s="7"/>
      <c r="J249" s="4">
        <f>IFERROR(I249-E249-F249+G249+H249,0)</f>
        <v>0</v>
      </c>
      <c r="K249" s="6">
        <f>IFERROR(J249/(E249+F249),0)</f>
        <v>0</v>
      </c>
      <c r="L249" s="6">
        <f>IFERROR(K249-SUMIFS($K$4:K249,$B$4:B249,B249,$C$4:C249,C249,$A$4:A249,EDATE(A249,-1)),K249)</f>
        <v>0</v>
      </c>
      <c r="M249" s="6">
        <f>IFERROR((I249+SUMIFS($G$4:G249,$B$4:B249,B249,$C$4:C249,C249,$A$4:A249,"&lt;="&amp;A249)+SUMIFS($H$4:H249,$B$4:B249,B249,$C$4:C249,C249,$A$4:A249,"&lt;="&amp;A249)-SUMIFS($F$4:F249,$B$4:B249,B249,$C$4:C249,C249,$A$4:A249,"&lt;="&amp;A249))/SUMIFS($F$4:F249,$B$4:B249,B249,$C$4:C249,C249,$A$4:A249,"&lt;="&amp;A249),0)</f>
        <v>0</v>
      </c>
      <c r="N249" s="8"/>
    </row>
    <row r="250" spans="1:14">
      <c r="A250" s="13">
        <v>46813</v>
      </c>
      <c r="B250" t="s">
        <v>35</v>
      </c>
      <c r="C250" t="s">
        <v>19</v>
      </c>
      <c r="D250" t="s">
        <v>36</v>
      </c>
      <c r="E250" s="7"/>
      <c r="F250" s="7"/>
      <c r="G250" s="7"/>
      <c r="H250" s="7"/>
      <c r="I250" s="7"/>
      <c r="J250" s="4">
        <f>IFERROR(I250-E250-F250+G250+H250,0)</f>
        <v>0</v>
      </c>
      <c r="K250" s="6">
        <f>IFERROR(J250/(E250+F250),0)</f>
        <v>0</v>
      </c>
      <c r="L250" s="6">
        <f>IFERROR(K250-SUMIFS($K$4:K250,$B$4:B250,B250,$C$4:C250,C250,$A$4:A250,EDATE(A250,-1)),K250)</f>
        <v>0</v>
      </c>
      <c r="M250" s="6">
        <f>IFERROR((I250+SUMIFS($G$4:G250,$B$4:B250,B250,$C$4:C250,C250,$A$4:A250,"&lt;="&amp;A250)+SUMIFS($H$4:H250,$B$4:B250,B250,$C$4:C250,C250,$A$4:A250,"&lt;="&amp;A250)-SUMIFS($F$4:F250,$B$4:B250,B250,$C$4:C250,C250,$A$4:A250,"&lt;="&amp;A250))/SUMIFS($F$4:F250,$B$4:B250,B250,$C$4:C250,C250,$A$4:A250,"&lt;="&amp;A250),0)</f>
        <v>0</v>
      </c>
      <c r="N250" s="8"/>
    </row>
    <row r="251" spans="1:14">
      <c r="A251" s="13">
        <v>46813</v>
      </c>
      <c r="B251" t="s">
        <v>35</v>
      </c>
      <c r="C251" t="s">
        <v>23</v>
      </c>
      <c r="D251" t="s">
        <v>37</v>
      </c>
      <c r="E251" s="7"/>
      <c r="F251" s="7"/>
      <c r="G251" s="7"/>
      <c r="H251" s="7"/>
      <c r="I251" s="7"/>
      <c r="J251" s="4">
        <f>IFERROR(I251-E251-F251+G251+H251,0)</f>
        <v>0</v>
      </c>
      <c r="K251" s="6">
        <f>IFERROR(J251/(E251+F251),0)</f>
        <v>0</v>
      </c>
      <c r="L251" s="6">
        <f>IFERROR(K251-SUMIFS($K$4:K251,$B$4:B251,B251,$C$4:C251,C251,$A$4:A251,EDATE(A251,-1)),K251)</f>
        <v>0</v>
      </c>
      <c r="M251" s="6">
        <f>IFERROR((I251+SUMIFS($G$4:G251,$B$4:B251,B251,$C$4:C251,C251,$A$4:A251,"&lt;="&amp;A251)+SUMIFS($H$4:H251,$B$4:B251,B251,$C$4:C251,C251,$A$4:A251,"&lt;="&amp;A251)-SUMIFS($F$4:F251,$B$4:B251,B251,$C$4:C251,C251,$A$4:A251,"&lt;="&amp;A251))/SUMIFS($F$4:F251,$B$4:B251,B251,$C$4:C251,C251,$A$4:A251,"&lt;="&amp;A251),0)</f>
        <v>0</v>
      </c>
      <c r="N251" s="8"/>
    </row>
    <row r="252" spans="1:14">
      <c r="A252" s="13">
        <v>46813</v>
      </c>
      <c r="B252" t="s">
        <v>38</v>
      </c>
      <c r="C252" t="s">
        <v>19</v>
      </c>
      <c r="D252" t="s">
        <v>39</v>
      </c>
      <c r="E252" s="7"/>
      <c r="F252" s="7"/>
      <c r="G252" s="7"/>
      <c r="H252" s="7"/>
      <c r="I252" s="7"/>
      <c r="J252" s="4">
        <f>IFERROR(I252-E252-F252+G252+H252,0)</f>
        <v>0</v>
      </c>
      <c r="K252" s="6">
        <f>IFERROR(J252/(E252+F252),0)</f>
        <v>0</v>
      </c>
      <c r="L252" s="6">
        <f>IFERROR(K252-SUMIFS($K$4:K252,$B$4:B252,B252,$C$4:C252,C252,$A$4:A252,EDATE(A252,-1)),K252)</f>
        <v>0</v>
      </c>
      <c r="M252" s="6">
        <f>IFERROR((I252+SUMIFS($G$4:G252,$B$4:B252,B252,$C$4:C252,C252,$A$4:A252,"&lt;="&amp;A252)+SUMIFS($H$4:H252,$B$4:B252,B252,$C$4:C252,C252,$A$4:A252,"&lt;="&amp;A252)-SUMIFS($F$4:F252,$B$4:B252,B252,$C$4:C252,C252,$A$4:A252,"&lt;="&amp;A252))/SUMIFS($F$4:F252,$B$4:B252,B252,$C$4:C252,C252,$A$4:A252,"&lt;="&amp;A252),0)</f>
        <v>0</v>
      </c>
      <c r="N252" s="8"/>
    </row>
    <row r="253" spans="1:14">
      <c r="A253" s="13">
        <v>46813</v>
      </c>
      <c r="B253" t="s">
        <v>38</v>
      </c>
      <c r="C253" t="s">
        <v>23</v>
      </c>
      <c r="D253" t="s">
        <v>40</v>
      </c>
      <c r="E253" s="7"/>
      <c r="F253" s="7"/>
      <c r="G253" s="7"/>
      <c r="H253" s="7"/>
      <c r="I253" s="7"/>
      <c r="J253" s="4">
        <f>IFERROR(I253-E253-F253+G253+H253,0)</f>
        <v>0</v>
      </c>
      <c r="K253" s="6">
        <f>IFERROR(J253/(E253+F253),0)</f>
        <v>0</v>
      </c>
      <c r="L253" s="6">
        <f>IFERROR(K253-SUMIFS($K$4:K253,$B$4:B253,B253,$C$4:C253,C253,$A$4:A253,EDATE(A253,-1)),K253)</f>
        <v>0</v>
      </c>
      <c r="M253" s="6">
        <f>IFERROR((I253+SUMIFS($G$4:G253,$B$4:B253,B253,$C$4:C253,C253,$A$4:A253,"&lt;="&amp;A253)+SUMIFS($H$4:H253,$B$4:B253,B253,$C$4:C253,C253,$A$4:A253,"&lt;="&amp;A253)-SUMIFS($F$4:F253,$B$4:B253,B253,$C$4:C253,C253,$A$4:A253,"&lt;="&amp;A253))/SUMIFS($F$4:F253,$B$4:B253,B253,$C$4:C253,C253,$A$4:A253,"&lt;="&amp;A253),0)</f>
        <v>0</v>
      </c>
      <c r="N253" s="8"/>
    </row>
    <row r="254" spans="1:14">
      <c r="A254" s="13">
        <v>46813</v>
      </c>
      <c r="B254" t="s">
        <v>41</v>
      </c>
      <c r="C254" t="s">
        <v>19</v>
      </c>
      <c r="D254" t="s">
        <v>42</v>
      </c>
      <c r="E254" s="7"/>
      <c r="F254" s="7"/>
      <c r="G254" s="7"/>
      <c r="H254" s="7"/>
      <c r="I254" s="7"/>
      <c r="J254" s="4">
        <f>IFERROR(I254-E254-F254+G254+H254,0)</f>
        <v>0</v>
      </c>
      <c r="K254" s="6">
        <f>IFERROR(J254/(E254+F254),0)</f>
        <v>0</v>
      </c>
      <c r="L254" s="6">
        <f>IFERROR(K254-SUMIFS($K$4:K254,$B$4:B254,B254,$C$4:C254,C254,$A$4:A254,EDATE(A254,-1)),K254)</f>
        <v>0</v>
      </c>
      <c r="M254" s="6">
        <f>IFERROR((I254+SUMIFS($G$4:G254,$B$4:B254,B254,$C$4:C254,C254,$A$4:A254,"&lt;="&amp;A254)+SUMIFS($H$4:H254,$B$4:B254,B254,$C$4:C254,C254,$A$4:A254,"&lt;="&amp;A254)-SUMIFS($F$4:F254,$B$4:B254,B254,$C$4:C254,C254,$A$4:A254,"&lt;="&amp;A254))/SUMIFS($F$4:F254,$B$4:B254,B254,$C$4:C254,C254,$A$4:A254,"&lt;="&amp;A254),0)</f>
        <v>0</v>
      </c>
      <c r="N254" s="8"/>
    </row>
    <row r="255" spans="1:14">
      <c r="A255" s="13">
        <v>46813</v>
      </c>
      <c r="B255" t="s">
        <v>41</v>
      </c>
      <c r="C255" t="s">
        <v>23</v>
      </c>
      <c r="D255" t="s">
        <v>43</v>
      </c>
      <c r="E255" s="7"/>
      <c r="F255" s="7"/>
      <c r="G255" s="7"/>
      <c r="H255" s="7"/>
      <c r="I255" s="7"/>
      <c r="J255" s="4">
        <f>IFERROR(I255-E255-F255+G255+H255,0)</f>
        <v>0</v>
      </c>
      <c r="K255" s="6">
        <f>IFERROR(J255/(E255+F255),0)</f>
        <v>0</v>
      </c>
      <c r="L255" s="6">
        <f>IFERROR(K255-SUMIFS($K$4:K255,$B$4:B255,B255,$C$4:C255,C255,$A$4:A255,EDATE(A255,-1)),K255)</f>
        <v>0</v>
      </c>
      <c r="M255" s="6">
        <f>IFERROR((I255+SUMIFS($G$4:G255,$B$4:B255,B255,$C$4:C255,C255,$A$4:A255,"&lt;="&amp;A255)+SUMIFS($H$4:H255,$B$4:B255,B255,$C$4:C255,C255,$A$4:A255,"&lt;="&amp;A255)-SUMIFS($F$4:F255,$B$4:B255,B255,$C$4:C255,C255,$A$4:A255,"&lt;="&amp;A255))/SUMIFS($F$4:F255,$B$4:B255,B255,$C$4:C255,C255,$A$4:A255,"&lt;="&amp;A255),0)</f>
        <v>0</v>
      </c>
      <c r="N255" s="8"/>
    </row>
    <row r="256" spans="1:14">
      <c r="A256" s="13">
        <v>46844</v>
      </c>
      <c r="B256" t="s">
        <v>18</v>
      </c>
      <c r="C256" t="s">
        <v>19</v>
      </c>
      <c r="D256" t="s">
        <v>21</v>
      </c>
      <c r="E256" s="7"/>
      <c r="F256" s="7"/>
      <c r="G256" s="7"/>
      <c r="H256" s="7"/>
      <c r="I256" s="7"/>
      <c r="J256" s="4">
        <f>IFERROR(I256-E256-F256+G256+H256,0)</f>
        <v>0</v>
      </c>
      <c r="K256" s="6">
        <f>IFERROR(J256/(E256+F256),0)</f>
        <v>0</v>
      </c>
      <c r="L256" s="6">
        <f>IFERROR(K256-SUMIFS($K$4:K256,$B$4:B256,B256,$C$4:C256,C256,$A$4:A256,EDATE(A256,-1)),K256)</f>
        <v>0</v>
      </c>
      <c r="M256" s="6">
        <f>IFERROR((I256+SUMIFS($G$4:G256,$B$4:B256,B256,$C$4:C256,C256,$A$4:A256,"&lt;="&amp;A256)+SUMIFS($H$4:H256,$B$4:B256,B256,$C$4:C256,C256,$A$4:A256,"&lt;="&amp;A256)-SUMIFS($F$4:F256,$B$4:B256,B256,$C$4:C256,C256,$A$4:A256,"&lt;="&amp;A256))/SUMIFS($F$4:F256,$B$4:B256,B256,$C$4:C256,C256,$A$4:A256,"&lt;="&amp;A256),0)</f>
        <v>0</v>
      </c>
      <c r="N256" s="8"/>
    </row>
    <row r="257" spans="1:14">
      <c r="A257" s="13">
        <v>46844</v>
      </c>
      <c r="B257" t="s">
        <v>18</v>
      </c>
      <c r="C257" t="s">
        <v>23</v>
      </c>
      <c r="D257" t="s">
        <v>24</v>
      </c>
      <c r="E257" s="7"/>
      <c r="F257" s="7"/>
      <c r="G257" s="7"/>
      <c r="H257" s="7"/>
      <c r="I257" s="7"/>
      <c r="J257" s="4">
        <f>IFERROR(I257-E257-F257+G257+H257,0)</f>
        <v>0</v>
      </c>
      <c r="K257" s="6">
        <f>IFERROR(J257/(E257+F257),0)</f>
        <v>0</v>
      </c>
      <c r="L257" s="6">
        <f>IFERROR(K257-SUMIFS($K$4:K257,$B$4:B257,B257,$C$4:C257,C257,$A$4:A257,EDATE(A257,-1)),K257)</f>
        <v>0</v>
      </c>
      <c r="M257" s="6">
        <f>IFERROR((I257+SUMIFS($G$4:G257,$B$4:B257,B257,$C$4:C257,C257,$A$4:A257,"&lt;="&amp;A257)+SUMIFS($H$4:H257,$B$4:B257,B257,$C$4:C257,C257,$A$4:A257,"&lt;="&amp;A257)-SUMIFS($F$4:F257,$B$4:B257,B257,$C$4:C257,C257,$A$4:A257,"&lt;="&amp;A257))/SUMIFS($F$4:F257,$B$4:B257,B257,$C$4:C257,C257,$A$4:A257,"&lt;="&amp;A257),0)</f>
        <v>0</v>
      </c>
      <c r="N257" s="8"/>
    </row>
    <row r="258" spans="1:14">
      <c r="A258" s="13">
        <v>46844</v>
      </c>
      <c r="B258" t="s">
        <v>26</v>
      </c>
      <c r="C258" t="s">
        <v>19</v>
      </c>
      <c r="D258" t="s">
        <v>27</v>
      </c>
      <c r="E258" s="7"/>
      <c r="F258" s="7"/>
      <c r="G258" s="7"/>
      <c r="H258" s="7"/>
      <c r="I258" s="7"/>
      <c r="J258" s="4">
        <f>IFERROR(I258-E258-F258+G258+H258,0)</f>
        <v>0</v>
      </c>
      <c r="K258" s="6">
        <f>IFERROR(J258/(E258+F258),0)</f>
        <v>0</v>
      </c>
      <c r="L258" s="6">
        <f>IFERROR(K258-SUMIFS($K$4:K258,$B$4:B258,B258,$C$4:C258,C258,$A$4:A258,EDATE(A258,-1)),K258)</f>
        <v>0</v>
      </c>
      <c r="M258" s="6">
        <f>IFERROR((I258+SUMIFS($G$4:G258,$B$4:B258,B258,$C$4:C258,C258,$A$4:A258,"&lt;="&amp;A258)+SUMIFS($H$4:H258,$B$4:B258,B258,$C$4:C258,C258,$A$4:A258,"&lt;="&amp;A258)-SUMIFS($F$4:F258,$B$4:B258,B258,$C$4:C258,C258,$A$4:A258,"&lt;="&amp;A258))/SUMIFS($F$4:F258,$B$4:B258,B258,$C$4:C258,C258,$A$4:A258,"&lt;="&amp;A258),0)</f>
        <v>0</v>
      </c>
      <c r="N258" s="8"/>
    </row>
    <row r="259" spans="1:14">
      <c r="A259" s="13">
        <v>46844</v>
      </c>
      <c r="B259" t="s">
        <v>26</v>
      </c>
      <c r="C259" t="s">
        <v>23</v>
      </c>
      <c r="D259" t="s">
        <v>28</v>
      </c>
      <c r="E259" s="7"/>
      <c r="F259" s="7"/>
      <c r="G259" s="7"/>
      <c r="H259" s="7"/>
      <c r="I259" s="7"/>
      <c r="J259" s="4">
        <f>IFERROR(I259-E259-F259+G259+H259,0)</f>
        <v>0</v>
      </c>
      <c r="K259" s="6">
        <f>IFERROR(J259/(E259+F259),0)</f>
        <v>0</v>
      </c>
      <c r="L259" s="6">
        <f>IFERROR(K259-SUMIFS($K$4:K259,$B$4:B259,B259,$C$4:C259,C259,$A$4:A259,EDATE(A259,-1)),K259)</f>
        <v>0</v>
      </c>
      <c r="M259" s="6">
        <f>IFERROR((I259+SUMIFS($G$4:G259,$B$4:B259,B259,$C$4:C259,C259,$A$4:A259,"&lt;="&amp;A259)+SUMIFS($H$4:H259,$B$4:B259,B259,$C$4:C259,C259,$A$4:A259,"&lt;="&amp;A259)-SUMIFS($F$4:F259,$B$4:B259,B259,$C$4:C259,C259,$A$4:A259,"&lt;="&amp;A259))/SUMIFS($F$4:F259,$B$4:B259,B259,$C$4:C259,C259,$A$4:A259,"&lt;="&amp;A259),0)</f>
        <v>0</v>
      </c>
      <c r="N259" s="8"/>
    </row>
    <row r="260" spans="1:14">
      <c r="A260" s="13">
        <v>46844</v>
      </c>
      <c r="B260" t="s">
        <v>29</v>
      </c>
      <c r="C260" t="s">
        <v>19</v>
      </c>
      <c r="D260" t="s">
        <v>30</v>
      </c>
      <c r="E260" s="7"/>
      <c r="F260" s="7"/>
      <c r="G260" s="7"/>
      <c r="H260" s="7"/>
      <c r="I260" s="7"/>
      <c r="J260" s="4">
        <f>IFERROR(I260-E260-F260+G260+H260,0)</f>
        <v>0</v>
      </c>
      <c r="K260" s="6">
        <f>IFERROR(J260/(E260+F260),0)</f>
        <v>0</v>
      </c>
      <c r="L260" s="6">
        <f>IFERROR(K260-SUMIFS($K$4:K260,$B$4:B260,B260,$C$4:C260,C260,$A$4:A260,EDATE(A260,-1)),K260)</f>
        <v>0</v>
      </c>
      <c r="M260" s="6">
        <f>IFERROR((I260+SUMIFS($G$4:G260,$B$4:B260,B260,$C$4:C260,C260,$A$4:A260,"&lt;="&amp;A260)+SUMIFS($H$4:H260,$B$4:B260,B260,$C$4:C260,C260,$A$4:A260,"&lt;="&amp;A260)-SUMIFS($F$4:F260,$B$4:B260,B260,$C$4:C260,C260,$A$4:A260,"&lt;="&amp;A260))/SUMIFS($F$4:F260,$B$4:B260,B260,$C$4:C260,C260,$A$4:A260,"&lt;="&amp;A260),0)</f>
        <v>0</v>
      </c>
      <c r="N260" s="8"/>
    </row>
    <row r="261" spans="1:14">
      <c r="A261" s="13">
        <v>46844</v>
      </c>
      <c r="B261" t="s">
        <v>29</v>
      </c>
      <c r="C261" t="s">
        <v>23</v>
      </c>
      <c r="D261" t="s">
        <v>31</v>
      </c>
      <c r="E261" s="7"/>
      <c r="F261" s="7"/>
      <c r="G261" s="7"/>
      <c r="H261" s="7"/>
      <c r="I261" s="7"/>
      <c r="J261" s="4">
        <f>IFERROR(I261-E261-F261+G261+H261,0)</f>
        <v>0</v>
      </c>
      <c r="K261" s="6">
        <f>IFERROR(J261/(E261+F261),0)</f>
        <v>0</v>
      </c>
      <c r="L261" s="6">
        <f>IFERROR(K261-SUMIFS($K$4:K261,$B$4:B261,B261,$C$4:C261,C261,$A$4:A261,EDATE(A261,-1)),K261)</f>
        <v>0</v>
      </c>
      <c r="M261" s="6">
        <f>IFERROR((I261+SUMIFS($G$4:G261,$B$4:B261,B261,$C$4:C261,C261,$A$4:A261,"&lt;="&amp;A261)+SUMIFS($H$4:H261,$B$4:B261,B261,$C$4:C261,C261,$A$4:A261,"&lt;="&amp;A261)-SUMIFS($F$4:F261,$B$4:B261,B261,$C$4:C261,C261,$A$4:A261,"&lt;="&amp;A261))/SUMIFS($F$4:F261,$B$4:B261,B261,$C$4:C261,C261,$A$4:A261,"&lt;="&amp;A261),0)</f>
        <v>0</v>
      </c>
      <c r="N261" s="8"/>
    </row>
    <row r="262" spans="1:14">
      <c r="A262" s="13">
        <v>46844</v>
      </c>
      <c r="B262" t="s">
        <v>32</v>
      </c>
      <c r="C262" t="s">
        <v>19</v>
      </c>
      <c r="D262" t="s">
        <v>33</v>
      </c>
      <c r="E262" s="7"/>
      <c r="F262" s="7"/>
      <c r="G262" s="7"/>
      <c r="H262" s="7"/>
      <c r="I262" s="7"/>
      <c r="J262" s="4">
        <f>IFERROR(I262-E262-F262+G262+H262,0)</f>
        <v>0</v>
      </c>
      <c r="K262" s="6">
        <f>IFERROR(J262/(E262+F262),0)</f>
        <v>0</v>
      </c>
      <c r="L262" s="6">
        <f>IFERROR(K262-SUMIFS($K$4:K262,$B$4:B262,B262,$C$4:C262,C262,$A$4:A262,EDATE(A262,-1)),K262)</f>
        <v>0</v>
      </c>
      <c r="M262" s="6">
        <f>IFERROR((I262+SUMIFS($G$4:G262,$B$4:B262,B262,$C$4:C262,C262,$A$4:A262,"&lt;="&amp;A262)+SUMIFS($H$4:H262,$B$4:B262,B262,$C$4:C262,C262,$A$4:A262,"&lt;="&amp;A262)-SUMIFS($F$4:F262,$B$4:B262,B262,$C$4:C262,C262,$A$4:A262,"&lt;="&amp;A262))/SUMIFS($F$4:F262,$B$4:B262,B262,$C$4:C262,C262,$A$4:A262,"&lt;="&amp;A262),0)</f>
        <v>0</v>
      </c>
      <c r="N262" s="8"/>
    </row>
    <row r="263" spans="1:14">
      <c r="A263" s="13">
        <v>46844</v>
      </c>
      <c r="B263" t="s">
        <v>32</v>
      </c>
      <c r="C263" t="s">
        <v>23</v>
      </c>
      <c r="D263" t="s">
        <v>34</v>
      </c>
      <c r="E263" s="7"/>
      <c r="F263" s="7"/>
      <c r="G263" s="7"/>
      <c r="H263" s="7"/>
      <c r="I263" s="7"/>
      <c r="J263" s="4">
        <f>IFERROR(I263-E263-F263+G263+H263,0)</f>
        <v>0</v>
      </c>
      <c r="K263" s="6">
        <f>IFERROR(J263/(E263+F263),0)</f>
        <v>0</v>
      </c>
      <c r="L263" s="6">
        <f>IFERROR(K263-SUMIFS($K$4:K263,$B$4:B263,B263,$C$4:C263,C263,$A$4:A263,EDATE(A263,-1)),K263)</f>
        <v>0</v>
      </c>
      <c r="M263" s="6">
        <f>IFERROR((I263+SUMIFS($G$4:G263,$B$4:B263,B263,$C$4:C263,C263,$A$4:A263,"&lt;="&amp;A263)+SUMIFS($H$4:H263,$B$4:B263,B263,$C$4:C263,C263,$A$4:A263,"&lt;="&amp;A263)-SUMIFS($F$4:F263,$B$4:B263,B263,$C$4:C263,C263,$A$4:A263,"&lt;="&amp;A263))/SUMIFS($F$4:F263,$B$4:B263,B263,$C$4:C263,C263,$A$4:A263,"&lt;="&amp;A263),0)</f>
        <v>0</v>
      </c>
      <c r="N263" s="8"/>
    </row>
    <row r="264" spans="1:14">
      <c r="A264" s="13">
        <v>46844</v>
      </c>
      <c r="B264" t="s">
        <v>35</v>
      </c>
      <c r="C264" t="s">
        <v>19</v>
      </c>
      <c r="D264" t="s">
        <v>36</v>
      </c>
      <c r="E264" s="7"/>
      <c r="F264" s="7"/>
      <c r="G264" s="7"/>
      <c r="H264" s="7"/>
      <c r="I264" s="7"/>
      <c r="J264" s="4">
        <f>IFERROR(I264-E264-F264+G264+H264,0)</f>
        <v>0</v>
      </c>
      <c r="K264" s="6">
        <f>IFERROR(J264/(E264+F264),0)</f>
        <v>0</v>
      </c>
      <c r="L264" s="6">
        <f>IFERROR(K264-SUMIFS($K$4:K264,$B$4:B264,B264,$C$4:C264,C264,$A$4:A264,EDATE(A264,-1)),K264)</f>
        <v>0</v>
      </c>
      <c r="M264" s="6">
        <f>IFERROR((I264+SUMIFS($G$4:G264,$B$4:B264,B264,$C$4:C264,C264,$A$4:A264,"&lt;="&amp;A264)+SUMIFS($H$4:H264,$B$4:B264,B264,$C$4:C264,C264,$A$4:A264,"&lt;="&amp;A264)-SUMIFS($F$4:F264,$B$4:B264,B264,$C$4:C264,C264,$A$4:A264,"&lt;="&amp;A264))/SUMIFS($F$4:F264,$B$4:B264,B264,$C$4:C264,C264,$A$4:A264,"&lt;="&amp;A264),0)</f>
        <v>0</v>
      </c>
      <c r="N264" s="8"/>
    </row>
    <row r="265" spans="1:14">
      <c r="A265" s="13">
        <v>46844</v>
      </c>
      <c r="B265" t="s">
        <v>35</v>
      </c>
      <c r="C265" t="s">
        <v>23</v>
      </c>
      <c r="D265" t="s">
        <v>37</v>
      </c>
      <c r="E265" s="7"/>
      <c r="F265" s="7"/>
      <c r="G265" s="7"/>
      <c r="H265" s="7"/>
      <c r="I265" s="7"/>
      <c r="J265" s="4">
        <f>IFERROR(I265-E265-F265+G265+H265,0)</f>
        <v>0</v>
      </c>
      <c r="K265" s="6">
        <f>IFERROR(J265/(E265+F265),0)</f>
        <v>0</v>
      </c>
      <c r="L265" s="6">
        <f>IFERROR(K265-SUMIFS($K$4:K265,$B$4:B265,B265,$C$4:C265,C265,$A$4:A265,EDATE(A265,-1)),K265)</f>
        <v>0</v>
      </c>
      <c r="M265" s="6">
        <f>IFERROR((I265+SUMIFS($G$4:G265,$B$4:B265,B265,$C$4:C265,C265,$A$4:A265,"&lt;="&amp;A265)+SUMIFS($H$4:H265,$B$4:B265,B265,$C$4:C265,C265,$A$4:A265,"&lt;="&amp;A265)-SUMIFS($F$4:F265,$B$4:B265,B265,$C$4:C265,C265,$A$4:A265,"&lt;="&amp;A265))/SUMIFS($F$4:F265,$B$4:B265,B265,$C$4:C265,C265,$A$4:A265,"&lt;="&amp;A265),0)</f>
        <v>0</v>
      </c>
      <c r="N265" s="8"/>
    </row>
    <row r="266" spans="1:14">
      <c r="A266" s="13">
        <v>46844</v>
      </c>
      <c r="B266" t="s">
        <v>38</v>
      </c>
      <c r="C266" t="s">
        <v>19</v>
      </c>
      <c r="D266" t="s">
        <v>39</v>
      </c>
      <c r="E266" s="7"/>
      <c r="F266" s="7"/>
      <c r="G266" s="7"/>
      <c r="H266" s="7"/>
      <c r="I266" s="7"/>
      <c r="J266" s="4">
        <f>IFERROR(I266-E266-F266+G266+H266,0)</f>
        <v>0</v>
      </c>
      <c r="K266" s="6">
        <f>IFERROR(J266/(E266+F266),0)</f>
        <v>0</v>
      </c>
      <c r="L266" s="6">
        <f>IFERROR(K266-SUMIFS($K$4:K266,$B$4:B266,B266,$C$4:C266,C266,$A$4:A266,EDATE(A266,-1)),K266)</f>
        <v>0</v>
      </c>
      <c r="M266" s="6">
        <f>IFERROR((I266+SUMIFS($G$4:G266,$B$4:B266,B266,$C$4:C266,C266,$A$4:A266,"&lt;="&amp;A266)+SUMIFS($H$4:H266,$B$4:B266,B266,$C$4:C266,C266,$A$4:A266,"&lt;="&amp;A266)-SUMIFS($F$4:F266,$B$4:B266,B266,$C$4:C266,C266,$A$4:A266,"&lt;="&amp;A266))/SUMIFS($F$4:F266,$B$4:B266,B266,$C$4:C266,C266,$A$4:A266,"&lt;="&amp;A266),0)</f>
        <v>0</v>
      </c>
      <c r="N266" s="8"/>
    </row>
    <row r="267" spans="1:14">
      <c r="A267" s="13">
        <v>46844</v>
      </c>
      <c r="B267" t="s">
        <v>38</v>
      </c>
      <c r="C267" t="s">
        <v>23</v>
      </c>
      <c r="D267" t="s">
        <v>40</v>
      </c>
      <c r="E267" s="7"/>
      <c r="F267" s="7"/>
      <c r="G267" s="7"/>
      <c r="H267" s="7"/>
      <c r="I267" s="7"/>
      <c r="J267" s="4">
        <f>IFERROR(I267-E267-F267+G267+H267,0)</f>
        <v>0</v>
      </c>
      <c r="K267" s="6">
        <f>IFERROR(J267/(E267+F267),0)</f>
        <v>0</v>
      </c>
      <c r="L267" s="6">
        <f>IFERROR(K267-SUMIFS($K$4:K267,$B$4:B267,B267,$C$4:C267,C267,$A$4:A267,EDATE(A267,-1)),K267)</f>
        <v>0</v>
      </c>
      <c r="M267" s="6">
        <f>IFERROR((I267+SUMIFS($G$4:G267,$B$4:B267,B267,$C$4:C267,C267,$A$4:A267,"&lt;="&amp;A267)+SUMIFS($H$4:H267,$B$4:B267,B267,$C$4:C267,C267,$A$4:A267,"&lt;="&amp;A267)-SUMIFS($F$4:F267,$B$4:B267,B267,$C$4:C267,C267,$A$4:A267,"&lt;="&amp;A267))/SUMIFS($F$4:F267,$B$4:B267,B267,$C$4:C267,C267,$A$4:A267,"&lt;="&amp;A267),0)</f>
        <v>0</v>
      </c>
      <c r="N267" s="8"/>
    </row>
    <row r="268" spans="1:14">
      <c r="A268" s="13">
        <v>46844</v>
      </c>
      <c r="B268" t="s">
        <v>41</v>
      </c>
      <c r="C268" t="s">
        <v>19</v>
      </c>
      <c r="D268" t="s">
        <v>42</v>
      </c>
      <c r="E268" s="7"/>
      <c r="F268" s="7"/>
      <c r="G268" s="7"/>
      <c r="H268" s="7"/>
      <c r="I268" s="7"/>
      <c r="J268" s="4">
        <f>IFERROR(I268-E268-F268+G268+H268,0)</f>
        <v>0</v>
      </c>
      <c r="K268" s="6">
        <f>IFERROR(J268/(E268+F268),0)</f>
        <v>0</v>
      </c>
      <c r="L268" s="6">
        <f>IFERROR(K268-SUMIFS($K$4:K268,$B$4:B268,B268,$C$4:C268,C268,$A$4:A268,EDATE(A268,-1)),K268)</f>
        <v>0</v>
      </c>
      <c r="M268" s="6">
        <f>IFERROR((I268+SUMIFS($G$4:G268,$B$4:B268,B268,$C$4:C268,C268,$A$4:A268,"&lt;="&amp;A268)+SUMIFS($H$4:H268,$B$4:B268,B268,$C$4:C268,C268,$A$4:A268,"&lt;="&amp;A268)-SUMIFS($F$4:F268,$B$4:B268,B268,$C$4:C268,C268,$A$4:A268,"&lt;="&amp;A268))/SUMIFS($F$4:F268,$B$4:B268,B268,$C$4:C268,C268,$A$4:A268,"&lt;="&amp;A268),0)</f>
        <v>0</v>
      </c>
      <c r="N268" s="8"/>
    </row>
    <row r="269" spans="1:14">
      <c r="A269" s="13">
        <v>46844</v>
      </c>
      <c r="B269" t="s">
        <v>41</v>
      </c>
      <c r="C269" t="s">
        <v>23</v>
      </c>
      <c r="D269" t="s">
        <v>43</v>
      </c>
      <c r="E269" s="7"/>
      <c r="F269" s="7"/>
      <c r="G269" s="7"/>
      <c r="H269" s="7"/>
      <c r="I269" s="7"/>
      <c r="J269" s="4">
        <f>IFERROR(I269-E269-F269+G269+H269,0)</f>
        <v>0</v>
      </c>
      <c r="K269" s="6">
        <f>IFERROR(J269/(E269+F269),0)</f>
        <v>0</v>
      </c>
      <c r="L269" s="6">
        <f>IFERROR(K269-SUMIFS($K$4:K269,$B$4:B269,B269,$C$4:C269,C269,$A$4:A269,EDATE(A269,-1)),K269)</f>
        <v>0</v>
      </c>
      <c r="M269" s="6">
        <f>IFERROR((I269+SUMIFS($G$4:G269,$B$4:B269,B269,$C$4:C269,C269,$A$4:A269,"&lt;="&amp;A269)+SUMIFS($H$4:H269,$B$4:B269,B269,$C$4:C269,C269,$A$4:A269,"&lt;="&amp;A269)-SUMIFS($F$4:F269,$B$4:B269,B269,$C$4:C269,C269,$A$4:A269,"&lt;="&amp;A269))/SUMIFS($F$4:F269,$B$4:B269,B269,$C$4:C269,C269,$A$4:A269,"&lt;="&amp;A269),0)</f>
        <v>0</v>
      </c>
      <c r="N269" s="8"/>
    </row>
    <row r="270" spans="1:14">
      <c r="A270" s="13">
        <v>46874</v>
      </c>
      <c r="B270" t="s">
        <v>18</v>
      </c>
      <c r="C270" t="s">
        <v>19</v>
      </c>
      <c r="D270" t="s">
        <v>21</v>
      </c>
      <c r="E270" s="7"/>
      <c r="F270" s="7"/>
      <c r="G270" s="7"/>
      <c r="H270" s="7"/>
      <c r="I270" s="7"/>
      <c r="J270" s="4">
        <f>IFERROR(I270-E270-F270+G270+H270,0)</f>
        <v>0</v>
      </c>
      <c r="K270" s="6">
        <f>IFERROR(J270/(E270+F270),0)</f>
        <v>0</v>
      </c>
      <c r="L270" s="6">
        <f>IFERROR(K270-SUMIFS($K$4:K270,$B$4:B270,B270,$C$4:C270,C270,$A$4:A270,EDATE(A270,-1)),K270)</f>
        <v>0</v>
      </c>
      <c r="M270" s="6">
        <f>IFERROR((I270+SUMIFS($G$4:G270,$B$4:B270,B270,$C$4:C270,C270,$A$4:A270,"&lt;="&amp;A270)+SUMIFS($H$4:H270,$B$4:B270,B270,$C$4:C270,C270,$A$4:A270,"&lt;="&amp;A270)-SUMIFS($F$4:F270,$B$4:B270,B270,$C$4:C270,C270,$A$4:A270,"&lt;="&amp;A270))/SUMIFS($F$4:F270,$B$4:B270,B270,$C$4:C270,C270,$A$4:A270,"&lt;="&amp;A270),0)</f>
        <v>0</v>
      </c>
      <c r="N270" s="8"/>
    </row>
    <row r="271" spans="1:14">
      <c r="A271" s="13">
        <v>46874</v>
      </c>
      <c r="B271" t="s">
        <v>18</v>
      </c>
      <c r="C271" t="s">
        <v>23</v>
      </c>
      <c r="D271" t="s">
        <v>24</v>
      </c>
      <c r="E271" s="7"/>
      <c r="F271" s="7"/>
      <c r="G271" s="7"/>
      <c r="H271" s="7"/>
      <c r="I271" s="7"/>
      <c r="J271" s="4">
        <f>IFERROR(I271-E271-F271+G271+H271,0)</f>
        <v>0</v>
      </c>
      <c r="K271" s="6">
        <f>IFERROR(J271/(E271+F271),0)</f>
        <v>0</v>
      </c>
      <c r="L271" s="6">
        <f>IFERROR(K271-SUMIFS($K$4:K271,$B$4:B271,B271,$C$4:C271,C271,$A$4:A271,EDATE(A271,-1)),K271)</f>
        <v>0</v>
      </c>
      <c r="M271" s="6">
        <f>IFERROR((I271+SUMIFS($G$4:G271,$B$4:B271,B271,$C$4:C271,C271,$A$4:A271,"&lt;="&amp;A271)+SUMIFS($H$4:H271,$B$4:B271,B271,$C$4:C271,C271,$A$4:A271,"&lt;="&amp;A271)-SUMIFS($F$4:F271,$B$4:B271,B271,$C$4:C271,C271,$A$4:A271,"&lt;="&amp;A271))/SUMIFS($F$4:F271,$B$4:B271,B271,$C$4:C271,C271,$A$4:A271,"&lt;="&amp;A271),0)</f>
        <v>0</v>
      </c>
      <c r="N271" s="8"/>
    </row>
    <row r="272" spans="1:14">
      <c r="A272" s="13">
        <v>46874</v>
      </c>
      <c r="B272" t="s">
        <v>26</v>
      </c>
      <c r="C272" t="s">
        <v>19</v>
      </c>
      <c r="D272" t="s">
        <v>27</v>
      </c>
      <c r="E272" s="7"/>
      <c r="F272" s="7"/>
      <c r="G272" s="7"/>
      <c r="H272" s="7"/>
      <c r="I272" s="7"/>
      <c r="J272" s="4">
        <f>IFERROR(I272-E272-F272+G272+H272,0)</f>
        <v>0</v>
      </c>
      <c r="K272" s="6">
        <f>IFERROR(J272/(E272+F272),0)</f>
        <v>0</v>
      </c>
      <c r="L272" s="6">
        <f>IFERROR(K272-SUMIFS($K$4:K272,$B$4:B272,B272,$C$4:C272,C272,$A$4:A272,EDATE(A272,-1)),K272)</f>
        <v>0</v>
      </c>
      <c r="M272" s="6">
        <f>IFERROR((I272+SUMIFS($G$4:G272,$B$4:B272,B272,$C$4:C272,C272,$A$4:A272,"&lt;="&amp;A272)+SUMIFS($H$4:H272,$B$4:B272,B272,$C$4:C272,C272,$A$4:A272,"&lt;="&amp;A272)-SUMIFS($F$4:F272,$B$4:B272,B272,$C$4:C272,C272,$A$4:A272,"&lt;="&amp;A272))/SUMIFS($F$4:F272,$B$4:B272,B272,$C$4:C272,C272,$A$4:A272,"&lt;="&amp;A272),0)</f>
        <v>0</v>
      </c>
      <c r="N272" s="8"/>
    </row>
    <row r="273" spans="1:14">
      <c r="A273" s="13">
        <v>46874</v>
      </c>
      <c r="B273" t="s">
        <v>26</v>
      </c>
      <c r="C273" t="s">
        <v>23</v>
      </c>
      <c r="D273" t="s">
        <v>28</v>
      </c>
      <c r="E273" s="7"/>
      <c r="F273" s="7"/>
      <c r="G273" s="7"/>
      <c r="H273" s="7"/>
      <c r="I273" s="7"/>
      <c r="J273" s="4">
        <f>IFERROR(I273-E273-F273+G273+H273,0)</f>
        <v>0</v>
      </c>
      <c r="K273" s="6">
        <f>IFERROR(J273/(E273+F273),0)</f>
        <v>0</v>
      </c>
      <c r="L273" s="6">
        <f>IFERROR(K273-SUMIFS($K$4:K273,$B$4:B273,B273,$C$4:C273,C273,$A$4:A273,EDATE(A273,-1)),K273)</f>
        <v>0</v>
      </c>
      <c r="M273" s="6">
        <f>IFERROR((I273+SUMIFS($G$4:G273,$B$4:B273,B273,$C$4:C273,C273,$A$4:A273,"&lt;="&amp;A273)+SUMIFS($H$4:H273,$B$4:B273,B273,$C$4:C273,C273,$A$4:A273,"&lt;="&amp;A273)-SUMIFS($F$4:F273,$B$4:B273,B273,$C$4:C273,C273,$A$4:A273,"&lt;="&amp;A273))/SUMIFS($F$4:F273,$B$4:B273,B273,$C$4:C273,C273,$A$4:A273,"&lt;="&amp;A273),0)</f>
        <v>0</v>
      </c>
      <c r="N273" s="8"/>
    </row>
    <row r="274" spans="1:14">
      <c r="A274" s="13">
        <v>46874</v>
      </c>
      <c r="B274" t="s">
        <v>29</v>
      </c>
      <c r="C274" t="s">
        <v>19</v>
      </c>
      <c r="D274" t="s">
        <v>30</v>
      </c>
      <c r="E274" s="7"/>
      <c r="F274" s="7"/>
      <c r="G274" s="7"/>
      <c r="H274" s="7"/>
      <c r="I274" s="7"/>
      <c r="J274" s="4">
        <f>IFERROR(I274-E274-F274+G274+H274,0)</f>
        <v>0</v>
      </c>
      <c r="K274" s="6">
        <f>IFERROR(J274/(E274+F274),0)</f>
        <v>0</v>
      </c>
      <c r="L274" s="6">
        <f>IFERROR(K274-SUMIFS($K$4:K274,$B$4:B274,B274,$C$4:C274,C274,$A$4:A274,EDATE(A274,-1)),K274)</f>
        <v>0</v>
      </c>
      <c r="M274" s="6">
        <f>IFERROR((I274+SUMIFS($G$4:G274,$B$4:B274,B274,$C$4:C274,C274,$A$4:A274,"&lt;="&amp;A274)+SUMIFS($H$4:H274,$B$4:B274,B274,$C$4:C274,C274,$A$4:A274,"&lt;="&amp;A274)-SUMIFS($F$4:F274,$B$4:B274,B274,$C$4:C274,C274,$A$4:A274,"&lt;="&amp;A274))/SUMIFS($F$4:F274,$B$4:B274,B274,$C$4:C274,C274,$A$4:A274,"&lt;="&amp;A274),0)</f>
        <v>0</v>
      </c>
      <c r="N274" s="8"/>
    </row>
    <row r="275" spans="1:14">
      <c r="A275" s="13">
        <v>46874</v>
      </c>
      <c r="B275" t="s">
        <v>29</v>
      </c>
      <c r="C275" t="s">
        <v>23</v>
      </c>
      <c r="D275" t="s">
        <v>31</v>
      </c>
      <c r="E275" s="7"/>
      <c r="F275" s="7"/>
      <c r="G275" s="7"/>
      <c r="H275" s="7"/>
      <c r="I275" s="7"/>
      <c r="J275" s="4">
        <f>IFERROR(I275-E275-F275+G275+H275,0)</f>
        <v>0</v>
      </c>
      <c r="K275" s="6">
        <f>IFERROR(J275/(E275+F275),0)</f>
        <v>0</v>
      </c>
      <c r="L275" s="6">
        <f>IFERROR(K275-SUMIFS($K$4:K275,$B$4:B275,B275,$C$4:C275,C275,$A$4:A275,EDATE(A275,-1)),K275)</f>
        <v>0</v>
      </c>
      <c r="M275" s="6">
        <f>IFERROR((I275+SUMIFS($G$4:G275,$B$4:B275,B275,$C$4:C275,C275,$A$4:A275,"&lt;="&amp;A275)+SUMIFS($H$4:H275,$B$4:B275,B275,$C$4:C275,C275,$A$4:A275,"&lt;="&amp;A275)-SUMIFS($F$4:F275,$B$4:B275,B275,$C$4:C275,C275,$A$4:A275,"&lt;="&amp;A275))/SUMIFS($F$4:F275,$B$4:B275,B275,$C$4:C275,C275,$A$4:A275,"&lt;="&amp;A275),0)</f>
        <v>0</v>
      </c>
      <c r="N275" s="8"/>
    </row>
    <row r="276" spans="1:14">
      <c r="A276" s="13">
        <v>46874</v>
      </c>
      <c r="B276" t="s">
        <v>32</v>
      </c>
      <c r="C276" t="s">
        <v>19</v>
      </c>
      <c r="D276" t="s">
        <v>33</v>
      </c>
      <c r="E276" s="7"/>
      <c r="F276" s="7"/>
      <c r="G276" s="7"/>
      <c r="H276" s="7"/>
      <c r="I276" s="7"/>
      <c r="J276" s="4">
        <f>IFERROR(I276-E276-F276+G276+H276,0)</f>
        <v>0</v>
      </c>
      <c r="K276" s="6">
        <f>IFERROR(J276/(E276+F276),0)</f>
        <v>0</v>
      </c>
      <c r="L276" s="6">
        <f>IFERROR(K276-SUMIFS($K$4:K276,$B$4:B276,B276,$C$4:C276,C276,$A$4:A276,EDATE(A276,-1)),K276)</f>
        <v>0</v>
      </c>
      <c r="M276" s="6">
        <f>IFERROR((I276+SUMIFS($G$4:G276,$B$4:B276,B276,$C$4:C276,C276,$A$4:A276,"&lt;="&amp;A276)+SUMIFS($H$4:H276,$B$4:B276,B276,$C$4:C276,C276,$A$4:A276,"&lt;="&amp;A276)-SUMIFS($F$4:F276,$B$4:B276,B276,$C$4:C276,C276,$A$4:A276,"&lt;="&amp;A276))/SUMIFS($F$4:F276,$B$4:B276,B276,$C$4:C276,C276,$A$4:A276,"&lt;="&amp;A276),0)</f>
        <v>0</v>
      </c>
      <c r="N276" s="8"/>
    </row>
    <row r="277" spans="1:14">
      <c r="A277" s="13">
        <v>46874</v>
      </c>
      <c r="B277" t="s">
        <v>32</v>
      </c>
      <c r="C277" t="s">
        <v>23</v>
      </c>
      <c r="D277" t="s">
        <v>34</v>
      </c>
      <c r="E277" s="7"/>
      <c r="F277" s="7"/>
      <c r="G277" s="7"/>
      <c r="H277" s="7"/>
      <c r="I277" s="7"/>
      <c r="J277" s="4">
        <f>IFERROR(I277-E277-F277+G277+H277,0)</f>
        <v>0</v>
      </c>
      <c r="K277" s="6">
        <f>IFERROR(J277/(E277+F277),0)</f>
        <v>0</v>
      </c>
      <c r="L277" s="6">
        <f>IFERROR(K277-SUMIFS($K$4:K277,$B$4:B277,B277,$C$4:C277,C277,$A$4:A277,EDATE(A277,-1)),K277)</f>
        <v>0</v>
      </c>
      <c r="M277" s="6">
        <f>IFERROR((I277+SUMIFS($G$4:G277,$B$4:B277,B277,$C$4:C277,C277,$A$4:A277,"&lt;="&amp;A277)+SUMIFS($H$4:H277,$B$4:B277,B277,$C$4:C277,C277,$A$4:A277,"&lt;="&amp;A277)-SUMIFS($F$4:F277,$B$4:B277,B277,$C$4:C277,C277,$A$4:A277,"&lt;="&amp;A277))/SUMIFS($F$4:F277,$B$4:B277,B277,$C$4:C277,C277,$A$4:A277,"&lt;="&amp;A277),0)</f>
        <v>0</v>
      </c>
      <c r="N277" s="8"/>
    </row>
    <row r="278" spans="1:14">
      <c r="A278" s="13">
        <v>46874</v>
      </c>
      <c r="B278" t="s">
        <v>35</v>
      </c>
      <c r="C278" t="s">
        <v>19</v>
      </c>
      <c r="D278" t="s">
        <v>36</v>
      </c>
      <c r="E278" s="7"/>
      <c r="F278" s="7"/>
      <c r="G278" s="7"/>
      <c r="H278" s="7"/>
      <c r="I278" s="7"/>
      <c r="J278" s="4">
        <f>IFERROR(I278-E278-F278+G278+H278,0)</f>
        <v>0</v>
      </c>
      <c r="K278" s="6">
        <f>IFERROR(J278/(E278+F278),0)</f>
        <v>0</v>
      </c>
      <c r="L278" s="6">
        <f>IFERROR(K278-SUMIFS($K$4:K278,$B$4:B278,B278,$C$4:C278,C278,$A$4:A278,EDATE(A278,-1)),K278)</f>
        <v>0</v>
      </c>
      <c r="M278" s="6">
        <f>IFERROR((I278+SUMIFS($G$4:G278,$B$4:B278,B278,$C$4:C278,C278,$A$4:A278,"&lt;="&amp;A278)+SUMIFS($H$4:H278,$B$4:B278,B278,$C$4:C278,C278,$A$4:A278,"&lt;="&amp;A278)-SUMIFS($F$4:F278,$B$4:B278,B278,$C$4:C278,C278,$A$4:A278,"&lt;="&amp;A278))/SUMIFS($F$4:F278,$B$4:B278,B278,$C$4:C278,C278,$A$4:A278,"&lt;="&amp;A278),0)</f>
        <v>0</v>
      </c>
      <c r="N278" s="8"/>
    </row>
    <row r="279" spans="1:14">
      <c r="A279" s="13">
        <v>46874</v>
      </c>
      <c r="B279" t="s">
        <v>35</v>
      </c>
      <c r="C279" t="s">
        <v>23</v>
      </c>
      <c r="D279" t="s">
        <v>37</v>
      </c>
      <c r="E279" s="7"/>
      <c r="F279" s="7"/>
      <c r="G279" s="7"/>
      <c r="H279" s="7"/>
      <c r="I279" s="7"/>
      <c r="J279" s="4">
        <f>IFERROR(I279-E279-F279+G279+H279,0)</f>
        <v>0</v>
      </c>
      <c r="K279" s="6">
        <f>IFERROR(J279/(E279+F279),0)</f>
        <v>0</v>
      </c>
      <c r="L279" s="6">
        <f>IFERROR(K279-SUMIFS($K$4:K279,$B$4:B279,B279,$C$4:C279,C279,$A$4:A279,EDATE(A279,-1)),K279)</f>
        <v>0</v>
      </c>
      <c r="M279" s="6">
        <f>IFERROR((I279+SUMIFS($G$4:G279,$B$4:B279,B279,$C$4:C279,C279,$A$4:A279,"&lt;="&amp;A279)+SUMIFS($H$4:H279,$B$4:B279,B279,$C$4:C279,C279,$A$4:A279,"&lt;="&amp;A279)-SUMIFS($F$4:F279,$B$4:B279,B279,$C$4:C279,C279,$A$4:A279,"&lt;="&amp;A279))/SUMIFS($F$4:F279,$B$4:B279,B279,$C$4:C279,C279,$A$4:A279,"&lt;="&amp;A279),0)</f>
        <v>0</v>
      </c>
      <c r="N279" s="8"/>
    </row>
    <row r="280" spans="1:14">
      <c r="A280" s="13">
        <v>46874</v>
      </c>
      <c r="B280" t="s">
        <v>38</v>
      </c>
      <c r="C280" t="s">
        <v>19</v>
      </c>
      <c r="D280" t="s">
        <v>39</v>
      </c>
      <c r="E280" s="7"/>
      <c r="F280" s="7"/>
      <c r="G280" s="7"/>
      <c r="H280" s="7"/>
      <c r="I280" s="7"/>
      <c r="J280" s="4">
        <f>IFERROR(I280-E280-F280+G280+H280,0)</f>
        <v>0</v>
      </c>
      <c r="K280" s="6">
        <f>IFERROR(J280/(E280+F280),0)</f>
        <v>0</v>
      </c>
      <c r="L280" s="6">
        <f>IFERROR(K280-SUMIFS($K$4:K280,$B$4:B280,B280,$C$4:C280,C280,$A$4:A280,EDATE(A280,-1)),K280)</f>
        <v>0</v>
      </c>
      <c r="M280" s="6">
        <f>IFERROR((I280+SUMIFS($G$4:G280,$B$4:B280,B280,$C$4:C280,C280,$A$4:A280,"&lt;="&amp;A280)+SUMIFS($H$4:H280,$B$4:B280,B280,$C$4:C280,C280,$A$4:A280,"&lt;="&amp;A280)-SUMIFS($F$4:F280,$B$4:B280,B280,$C$4:C280,C280,$A$4:A280,"&lt;="&amp;A280))/SUMIFS($F$4:F280,$B$4:B280,B280,$C$4:C280,C280,$A$4:A280,"&lt;="&amp;A280),0)</f>
        <v>0</v>
      </c>
      <c r="N280" s="8"/>
    </row>
    <row r="281" spans="1:14">
      <c r="A281" s="13">
        <v>46874</v>
      </c>
      <c r="B281" t="s">
        <v>38</v>
      </c>
      <c r="C281" t="s">
        <v>23</v>
      </c>
      <c r="D281" t="s">
        <v>40</v>
      </c>
      <c r="E281" s="7"/>
      <c r="F281" s="7"/>
      <c r="G281" s="7"/>
      <c r="H281" s="7"/>
      <c r="I281" s="7"/>
      <c r="J281" s="4">
        <f>IFERROR(I281-E281-F281+G281+H281,0)</f>
        <v>0</v>
      </c>
      <c r="K281" s="6">
        <f>IFERROR(J281/(E281+F281),0)</f>
        <v>0</v>
      </c>
      <c r="L281" s="6">
        <f>IFERROR(K281-SUMIFS($K$4:K281,$B$4:B281,B281,$C$4:C281,C281,$A$4:A281,EDATE(A281,-1)),K281)</f>
        <v>0</v>
      </c>
      <c r="M281" s="6">
        <f>IFERROR((I281+SUMIFS($G$4:G281,$B$4:B281,B281,$C$4:C281,C281,$A$4:A281,"&lt;="&amp;A281)+SUMIFS($H$4:H281,$B$4:B281,B281,$C$4:C281,C281,$A$4:A281,"&lt;="&amp;A281)-SUMIFS($F$4:F281,$B$4:B281,B281,$C$4:C281,C281,$A$4:A281,"&lt;="&amp;A281))/SUMIFS($F$4:F281,$B$4:B281,B281,$C$4:C281,C281,$A$4:A281,"&lt;="&amp;A281),0)</f>
        <v>0</v>
      </c>
      <c r="N281" s="8"/>
    </row>
    <row r="282" spans="1:14">
      <c r="A282" s="13">
        <v>46874</v>
      </c>
      <c r="B282" t="s">
        <v>41</v>
      </c>
      <c r="C282" t="s">
        <v>19</v>
      </c>
      <c r="D282" t="s">
        <v>42</v>
      </c>
      <c r="E282" s="7"/>
      <c r="F282" s="7"/>
      <c r="G282" s="7"/>
      <c r="H282" s="7"/>
      <c r="I282" s="7"/>
      <c r="J282" s="4">
        <f>IFERROR(I282-E282-F282+G282+H282,0)</f>
        <v>0</v>
      </c>
      <c r="K282" s="6">
        <f>IFERROR(J282/(E282+F282),0)</f>
        <v>0</v>
      </c>
      <c r="L282" s="6">
        <f>IFERROR(K282-SUMIFS($K$4:K282,$B$4:B282,B282,$C$4:C282,C282,$A$4:A282,EDATE(A282,-1)),K282)</f>
        <v>0</v>
      </c>
      <c r="M282" s="6">
        <f>IFERROR((I282+SUMIFS($G$4:G282,$B$4:B282,B282,$C$4:C282,C282,$A$4:A282,"&lt;="&amp;A282)+SUMIFS($H$4:H282,$B$4:B282,B282,$C$4:C282,C282,$A$4:A282,"&lt;="&amp;A282)-SUMIFS($F$4:F282,$B$4:B282,B282,$C$4:C282,C282,$A$4:A282,"&lt;="&amp;A282))/SUMIFS($F$4:F282,$B$4:B282,B282,$C$4:C282,C282,$A$4:A282,"&lt;="&amp;A282),0)</f>
        <v>0</v>
      </c>
      <c r="N282" s="8"/>
    </row>
    <row r="283" spans="1:14">
      <c r="A283" s="13">
        <v>46874</v>
      </c>
      <c r="B283" t="s">
        <v>41</v>
      </c>
      <c r="C283" t="s">
        <v>23</v>
      </c>
      <c r="D283" t="s">
        <v>43</v>
      </c>
      <c r="E283" s="7"/>
      <c r="F283" s="7"/>
      <c r="G283" s="7"/>
      <c r="H283" s="7"/>
      <c r="I283" s="7"/>
      <c r="J283" s="4">
        <f>IFERROR(I283-E283-F283+G283+H283,0)</f>
        <v>0</v>
      </c>
      <c r="K283" s="6">
        <f>IFERROR(J283/(E283+F283),0)</f>
        <v>0</v>
      </c>
      <c r="L283" s="6">
        <f>IFERROR(K283-SUMIFS($K$4:K283,$B$4:B283,B283,$C$4:C283,C283,$A$4:A283,EDATE(A283,-1)),K283)</f>
        <v>0</v>
      </c>
      <c r="M283" s="6">
        <f>IFERROR((I283+SUMIFS($G$4:G283,$B$4:B283,B283,$C$4:C283,C283,$A$4:A283,"&lt;="&amp;A283)+SUMIFS($H$4:H283,$B$4:B283,B283,$C$4:C283,C283,$A$4:A283,"&lt;="&amp;A283)-SUMIFS($F$4:F283,$B$4:B283,B283,$C$4:C283,C283,$A$4:A283,"&lt;="&amp;A283))/SUMIFS($F$4:F283,$B$4:B283,B283,$C$4:C283,C283,$A$4:A283,"&lt;="&amp;A283),0)</f>
        <v>0</v>
      </c>
      <c r="N283" s="8"/>
    </row>
    <row r="284" spans="1:14">
      <c r="A284" s="13">
        <v>46905</v>
      </c>
      <c r="B284" t="s">
        <v>18</v>
      </c>
      <c r="C284" t="s">
        <v>19</v>
      </c>
      <c r="D284" t="s">
        <v>21</v>
      </c>
      <c r="E284" s="7"/>
      <c r="F284" s="7"/>
      <c r="G284" s="7"/>
      <c r="H284" s="7"/>
      <c r="I284" s="7"/>
      <c r="J284" s="4">
        <f>IFERROR(I284-E284-F284+G284+H284,0)</f>
        <v>0</v>
      </c>
      <c r="K284" s="6">
        <f>IFERROR(J284/(E284+F284),0)</f>
        <v>0</v>
      </c>
      <c r="L284" s="6">
        <f>IFERROR(K284-SUMIFS($K$4:K284,$B$4:B284,B284,$C$4:C284,C284,$A$4:A284,EDATE(A284,-1)),K284)</f>
        <v>0</v>
      </c>
      <c r="M284" s="6">
        <f>IFERROR((I284+SUMIFS($G$4:G284,$B$4:B284,B284,$C$4:C284,C284,$A$4:A284,"&lt;="&amp;A284)+SUMIFS($H$4:H284,$B$4:B284,B284,$C$4:C284,C284,$A$4:A284,"&lt;="&amp;A284)-SUMIFS($F$4:F284,$B$4:B284,B284,$C$4:C284,C284,$A$4:A284,"&lt;="&amp;A284))/SUMIFS($F$4:F284,$B$4:B284,B284,$C$4:C284,C284,$A$4:A284,"&lt;="&amp;A284),0)</f>
        <v>0</v>
      </c>
      <c r="N284" s="8"/>
    </row>
    <row r="285" spans="1:14">
      <c r="A285" s="13">
        <v>46905</v>
      </c>
      <c r="B285" t="s">
        <v>18</v>
      </c>
      <c r="C285" t="s">
        <v>23</v>
      </c>
      <c r="D285" t="s">
        <v>24</v>
      </c>
      <c r="E285" s="7"/>
      <c r="F285" s="7"/>
      <c r="G285" s="7"/>
      <c r="H285" s="7"/>
      <c r="I285" s="7"/>
      <c r="J285" s="4">
        <f>IFERROR(I285-E285-F285+G285+H285,0)</f>
        <v>0</v>
      </c>
      <c r="K285" s="6">
        <f>IFERROR(J285/(E285+F285),0)</f>
        <v>0</v>
      </c>
      <c r="L285" s="6">
        <f>IFERROR(K285-SUMIFS($K$4:K285,$B$4:B285,B285,$C$4:C285,C285,$A$4:A285,EDATE(A285,-1)),K285)</f>
        <v>0</v>
      </c>
      <c r="M285" s="6">
        <f>IFERROR((I285+SUMIFS($G$4:G285,$B$4:B285,B285,$C$4:C285,C285,$A$4:A285,"&lt;="&amp;A285)+SUMIFS($H$4:H285,$B$4:B285,B285,$C$4:C285,C285,$A$4:A285,"&lt;="&amp;A285)-SUMIFS($F$4:F285,$B$4:B285,B285,$C$4:C285,C285,$A$4:A285,"&lt;="&amp;A285))/SUMIFS($F$4:F285,$B$4:B285,B285,$C$4:C285,C285,$A$4:A285,"&lt;="&amp;A285),0)</f>
        <v>0</v>
      </c>
      <c r="N285" s="8"/>
    </row>
    <row r="286" spans="1:14">
      <c r="A286" s="13">
        <v>46905</v>
      </c>
      <c r="B286" t="s">
        <v>26</v>
      </c>
      <c r="C286" t="s">
        <v>19</v>
      </c>
      <c r="D286" t="s">
        <v>27</v>
      </c>
      <c r="E286" s="7"/>
      <c r="F286" s="7"/>
      <c r="G286" s="7"/>
      <c r="H286" s="7"/>
      <c r="I286" s="7"/>
      <c r="J286" s="4">
        <f>IFERROR(I286-E286-F286+G286+H286,0)</f>
        <v>0</v>
      </c>
      <c r="K286" s="6">
        <f>IFERROR(J286/(E286+F286),0)</f>
        <v>0</v>
      </c>
      <c r="L286" s="6">
        <f>IFERROR(K286-SUMIFS($K$4:K286,$B$4:B286,B286,$C$4:C286,C286,$A$4:A286,EDATE(A286,-1)),K286)</f>
        <v>0</v>
      </c>
      <c r="M286" s="6">
        <f>IFERROR((I286+SUMIFS($G$4:G286,$B$4:B286,B286,$C$4:C286,C286,$A$4:A286,"&lt;="&amp;A286)+SUMIFS($H$4:H286,$B$4:B286,B286,$C$4:C286,C286,$A$4:A286,"&lt;="&amp;A286)-SUMIFS($F$4:F286,$B$4:B286,B286,$C$4:C286,C286,$A$4:A286,"&lt;="&amp;A286))/SUMIFS($F$4:F286,$B$4:B286,B286,$C$4:C286,C286,$A$4:A286,"&lt;="&amp;A286),0)</f>
        <v>0</v>
      </c>
      <c r="N286" s="8"/>
    </row>
    <row r="287" spans="1:14">
      <c r="A287" s="13">
        <v>46905</v>
      </c>
      <c r="B287" t="s">
        <v>26</v>
      </c>
      <c r="C287" t="s">
        <v>23</v>
      </c>
      <c r="D287" t="s">
        <v>28</v>
      </c>
      <c r="E287" s="7"/>
      <c r="F287" s="7"/>
      <c r="G287" s="7"/>
      <c r="H287" s="7"/>
      <c r="I287" s="7"/>
      <c r="J287" s="4">
        <f>IFERROR(I287-E287-F287+G287+H287,0)</f>
        <v>0</v>
      </c>
      <c r="K287" s="6">
        <f>IFERROR(J287/(E287+F287),0)</f>
        <v>0</v>
      </c>
      <c r="L287" s="6">
        <f>IFERROR(K287-SUMIFS($K$4:K287,$B$4:B287,B287,$C$4:C287,C287,$A$4:A287,EDATE(A287,-1)),K287)</f>
        <v>0</v>
      </c>
      <c r="M287" s="6">
        <f>IFERROR((I287+SUMIFS($G$4:G287,$B$4:B287,B287,$C$4:C287,C287,$A$4:A287,"&lt;="&amp;A287)+SUMIFS($H$4:H287,$B$4:B287,B287,$C$4:C287,C287,$A$4:A287,"&lt;="&amp;A287)-SUMIFS($F$4:F287,$B$4:B287,B287,$C$4:C287,C287,$A$4:A287,"&lt;="&amp;A287))/SUMIFS($F$4:F287,$B$4:B287,B287,$C$4:C287,C287,$A$4:A287,"&lt;="&amp;A287),0)</f>
        <v>0</v>
      </c>
      <c r="N287" s="8"/>
    </row>
    <row r="288" spans="1:14">
      <c r="A288" s="13">
        <v>46905</v>
      </c>
      <c r="B288" t="s">
        <v>29</v>
      </c>
      <c r="C288" t="s">
        <v>19</v>
      </c>
      <c r="D288" t="s">
        <v>30</v>
      </c>
      <c r="E288" s="7"/>
      <c r="F288" s="7"/>
      <c r="G288" s="7"/>
      <c r="H288" s="7"/>
      <c r="I288" s="7"/>
      <c r="J288" s="4">
        <f>IFERROR(I288-E288-F288+G288+H288,0)</f>
        <v>0</v>
      </c>
      <c r="K288" s="6">
        <f>IFERROR(J288/(E288+F288),0)</f>
        <v>0</v>
      </c>
      <c r="L288" s="6">
        <f>IFERROR(K288-SUMIFS($K$4:K288,$B$4:B288,B288,$C$4:C288,C288,$A$4:A288,EDATE(A288,-1)),K288)</f>
        <v>0</v>
      </c>
      <c r="M288" s="6">
        <f>IFERROR((I288+SUMIFS($G$4:G288,$B$4:B288,B288,$C$4:C288,C288,$A$4:A288,"&lt;="&amp;A288)+SUMIFS($H$4:H288,$B$4:B288,B288,$C$4:C288,C288,$A$4:A288,"&lt;="&amp;A288)-SUMIFS($F$4:F288,$B$4:B288,B288,$C$4:C288,C288,$A$4:A288,"&lt;="&amp;A288))/SUMIFS($F$4:F288,$B$4:B288,B288,$C$4:C288,C288,$A$4:A288,"&lt;="&amp;A288),0)</f>
        <v>0</v>
      </c>
      <c r="N288" s="8"/>
    </row>
    <row r="289" spans="1:14">
      <c r="A289" s="13">
        <v>46905</v>
      </c>
      <c r="B289" t="s">
        <v>29</v>
      </c>
      <c r="C289" t="s">
        <v>23</v>
      </c>
      <c r="D289" t="s">
        <v>31</v>
      </c>
      <c r="E289" s="7"/>
      <c r="F289" s="7"/>
      <c r="G289" s="7"/>
      <c r="H289" s="7"/>
      <c r="I289" s="7"/>
      <c r="J289" s="4">
        <f>IFERROR(I289-E289-F289+G289+H289,0)</f>
        <v>0</v>
      </c>
      <c r="K289" s="6">
        <f>IFERROR(J289/(E289+F289),0)</f>
        <v>0</v>
      </c>
      <c r="L289" s="6">
        <f>IFERROR(K289-SUMIFS($K$4:K289,$B$4:B289,B289,$C$4:C289,C289,$A$4:A289,EDATE(A289,-1)),K289)</f>
        <v>0</v>
      </c>
      <c r="M289" s="6">
        <f>IFERROR((I289+SUMIFS($G$4:G289,$B$4:B289,B289,$C$4:C289,C289,$A$4:A289,"&lt;="&amp;A289)+SUMIFS($H$4:H289,$B$4:B289,B289,$C$4:C289,C289,$A$4:A289,"&lt;="&amp;A289)-SUMIFS($F$4:F289,$B$4:B289,B289,$C$4:C289,C289,$A$4:A289,"&lt;="&amp;A289))/SUMIFS($F$4:F289,$B$4:B289,B289,$C$4:C289,C289,$A$4:A289,"&lt;="&amp;A289),0)</f>
        <v>0</v>
      </c>
      <c r="N289" s="8"/>
    </row>
    <row r="290" spans="1:14">
      <c r="A290" s="13">
        <v>46905</v>
      </c>
      <c r="B290" t="s">
        <v>32</v>
      </c>
      <c r="C290" t="s">
        <v>19</v>
      </c>
      <c r="D290" t="s">
        <v>33</v>
      </c>
      <c r="E290" s="7"/>
      <c r="F290" s="7"/>
      <c r="G290" s="7"/>
      <c r="H290" s="7"/>
      <c r="I290" s="7"/>
      <c r="J290" s="4">
        <f>IFERROR(I290-E290-F290+G290+H290,0)</f>
        <v>0</v>
      </c>
      <c r="K290" s="6">
        <f>IFERROR(J290/(E290+F290),0)</f>
        <v>0</v>
      </c>
      <c r="L290" s="6">
        <f>IFERROR(K290-SUMIFS($K$4:K290,$B$4:B290,B290,$C$4:C290,C290,$A$4:A290,EDATE(A290,-1)),K290)</f>
        <v>0</v>
      </c>
      <c r="M290" s="6">
        <f>IFERROR((I290+SUMIFS($G$4:G290,$B$4:B290,B290,$C$4:C290,C290,$A$4:A290,"&lt;="&amp;A290)+SUMIFS($H$4:H290,$B$4:B290,B290,$C$4:C290,C290,$A$4:A290,"&lt;="&amp;A290)-SUMIFS($F$4:F290,$B$4:B290,B290,$C$4:C290,C290,$A$4:A290,"&lt;="&amp;A290))/SUMIFS($F$4:F290,$B$4:B290,B290,$C$4:C290,C290,$A$4:A290,"&lt;="&amp;A290),0)</f>
        <v>0</v>
      </c>
      <c r="N290" s="8"/>
    </row>
    <row r="291" spans="1:14">
      <c r="A291" s="13">
        <v>46905</v>
      </c>
      <c r="B291" t="s">
        <v>32</v>
      </c>
      <c r="C291" t="s">
        <v>23</v>
      </c>
      <c r="D291" t="s">
        <v>34</v>
      </c>
      <c r="E291" s="7"/>
      <c r="F291" s="7"/>
      <c r="G291" s="7"/>
      <c r="H291" s="7"/>
      <c r="I291" s="7"/>
      <c r="J291" s="4">
        <f>IFERROR(I291-E291-F291+G291+H291,0)</f>
        <v>0</v>
      </c>
      <c r="K291" s="6">
        <f>IFERROR(J291/(E291+F291),0)</f>
        <v>0</v>
      </c>
      <c r="L291" s="6">
        <f>IFERROR(K291-SUMIFS($K$4:K291,$B$4:B291,B291,$C$4:C291,C291,$A$4:A291,EDATE(A291,-1)),K291)</f>
        <v>0</v>
      </c>
      <c r="M291" s="6">
        <f>IFERROR((I291+SUMIFS($G$4:G291,$B$4:B291,B291,$C$4:C291,C291,$A$4:A291,"&lt;="&amp;A291)+SUMIFS($H$4:H291,$B$4:B291,B291,$C$4:C291,C291,$A$4:A291,"&lt;="&amp;A291)-SUMIFS($F$4:F291,$B$4:B291,B291,$C$4:C291,C291,$A$4:A291,"&lt;="&amp;A291))/SUMIFS($F$4:F291,$B$4:B291,B291,$C$4:C291,C291,$A$4:A291,"&lt;="&amp;A291),0)</f>
        <v>0</v>
      </c>
      <c r="N291" s="8"/>
    </row>
    <row r="292" spans="1:14">
      <c r="A292" s="13">
        <v>46905</v>
      </c>
      <c r="B292" t="s">
        <v>35</v>
      </c>
      <c r="C292" t="s">
        <v>19</v>
      </c>
      <c r="D292" t="s">
        <v>36</v>
      </c>
      <c r="E292" s="7"/>
      <c r="F292" s="7"/>
      <c r="G292" s="7"/>
      <c r="H292" s="7"/>
      <c r="I292" s="7"/>
      <c r="J292" s="4">
        <f>IFERROR(I292-E292-F292+G292+H292,0)</f>
        <v>0</v>
      </c>
      <c r="K292" s="6">
        <f>IFERROR(J292/(E292+F292),0)</f>
        <v>0</v>
      </c>
      <c r="L292" s="6">
        <f>IFERROR(K292-SUMIFS($K$4:K292,$B$4:B292,B292,$C$4:C292,C292,$A$4:A292,EDATE(A292,-1)),K292)</f>
        <v>0</v>
      </c>
      <c r="M292" s="6">
        <f>IFERROR((I292+SUMIFS($G$4:G292,$B$4:B292,B292,$C$4:C292,C292,$A$4:A292,"&lt;="&amp;A292)+SUMIFS($H$4:H292,$B$4:B292,B292,$C$4:C292,C292,$A$4:A292,"&lt;="&amp;A292)-SUMIFS($F$4:F292,$B$4:B292,B292,$C$4:C292,C292,$A$4:A292,"&lt;="&amp;A292))/SUMIFS($F$4:F292,$B$4:B292,B292,$C$4:C292,C292,$A$4:A292,"&lt;="&amp;A292),0)</f>
        <v>0</v>
      </c>
      <c r="N292" s="8"/>
    </row>
    <row r="293" spans="1:14">
      <c r="A293" s="13">
        <v>46905</v>
      </c>
      <c r="B293" t="s">
        <v>35</v>
      </c>
      <c r="C293" t="s">
        <v>23</v>
      </c>
      <c r="D293" t="s">
        <v>37</v>
      </c>
      <c r="E293" s="7"/>
      <c r="F293" s="7"/>
      <c r="G293" s="7"/>
      <c r="H293" s="7"/>
      <c r="I293" s="7"/>
      <c r="J293" s="4">
        <f>IFERROR(I293-E293-F293+G293+H293,0)</f>
        <v>0</v>
      </c>
      <c r="K293" s="6">
        <f>IFERROR(J293/(E293+F293),0)</f>
        <v>0</v>
      </c>
      <c r="L293" s="6">
        <f>IFERROR(K293-SUMIFS($K$4:K293,$B$4:B293,B293,$C$4:C293,C293,$A$4:A293,EDATE(A293,-1)),K293)</f>
        <v>0</v>
      </c>
      <c r="M293" s="6">
        <f>IFERROR((I293+SUMIFS($G$4:G293,$B$4:B293,B293,$C$4:C293,C293,$A$4:A293,"&lt;="&amp;A293)+SUMIFS($H$4:H293,$B$4:B293,B293,$C$4:C293,C293,$A$4:A293,"&lt;="&amp;A293)-SUMIFS($F$4:F293,$B$4:B293,B293,$C$4:C293,C293,$A$4:A293,"&lt;="&amp;A293))/SUMIFS($F$4:F293,$B$4:B293,B293,$C$4:C293,C293,$A$4:A293,"&lt;="&amp;A293),0)</f>
        <v>0</v>
      </c>
      <c r="N293" s="8"/>
    </row>
    <row r="294" spans="1:14">
      <c r="A294" s="13">
        <v>46905</v>
      </c>
      <c r="B294" t="s">
        <v>38</v>
      </c>
      <c r="C294" t="s">
        <v>19</v>
      </c>
      <c r="D294" t="s">
        <v>39</v>
      </c>
      <c r="E294" s="7"/>
      <c r="F294" s="7"/>
      <c r="G294" s="7"/>
      <c r="H294" s="7"/>
      <c r="I294" s="7"/>
      <c r="J294" s="4">
        <f>IFERROR(I294-E294-F294+G294+H294,0)</f>
        <v>0</v>
      </c>
      <c r="K294" s="6">
        <f>IFERROR(J294/(E294+F294),0)</f>
        <v>0</v>
      </c>
      <c r="L294" s="6">
        <f>IFERROR(K294-SUMIFS($K$4:K294,$B$4:B294,B294,$C$4:C294,C294,$A$4:A294,EDATE(A294,-1)),K294)</f>
        <v>0</v>
      </c>
      <c r="M294" s="6">
        <f>IFERROR((I294+SUMIFS($G$4:G294,$B$4:B294,B294,$C$4:C294,C294,$A$4:A294,"&lt;="&amp;A294)+SUMIFS($H$4:H294,$B$4:B294,B294,$C$4:C294,C294,$A$4:A294,"&lt;="&amp;A294)-SUMIFS($F$4:F294,$B$4:B294,B294,$C$4:C294,C294,$A$4:A294,"&lt;="&amp;A294))/SUMIFS($F$4:F294,$B$4:B294,B294,$C$4:C294,C294,$A$4:A294,"&lt;="&amp;A294),0)</f>
        <v>0</v>
      </c>
      <c r="N294" s="8"/>
    </row>
    <row r="295" spans="1:14">
      <c r="A295" s="13">
        <v>46905</v>
      </c>
      <c r="B295" t="s">
        <v>38</v>
      </c>
      <c r="C295" t="s">
        <v>23</v>
      </c>
      <c r="D295" t="s">
        <v>40</v>
      </c>
      <c r="E295" s="7"/>
      <c r="F295" s="7"/>
      <c r="G295" s="7"/>
      <c r="H295" s="7"/>
      <c r="I295" s="7"/>
      <c r="J295" s="4">
        <f>IFERROR(I295-E295-F295+G295+H295,0)</f>
        <v>0</v>
      </c>
      <c r="K295" s="6">
        <f>IFERROR(J295/(E295+F295),0)</f>
        <v>0</v>
      </c>
      <c r="L295" s="6">
        <f>IFERROR(K295-SUMIFS($K$4:K295,$B$4:B295,B295,$C$4:C295,C295,$A$4:A295,EDATE(A295,-1)),K295)</f>
        <v>0</v>
      </c>
      <c r="M295" s="6">
        <f>IFERROR((I295+SUMIFS($G$4:G295,$B$4:B295,B295,$C$4:C295,C295,$A$4:A295,"&lt;="&amp;A295)+SUMIFS($H$4:H295,$B$4:B295,B295,$C$4:C295,C295,$A$4:A295,"&lt;="&amp;A295)-SUMIFS($F$4:F295,$B$4:B295,B295,$C$4:C295,C295,$A$4:A295,"&lt;="&amp;A295))/SUMIFS($F$4:F295,$B$4:B295,B295,$C$4:C295,C295,$A$4:A295,"&lt;="&amp;A295),0)</f>
        <v>0</v>
      </c>
      <c r="N295" s="8"/>
    </row>
    <row r="296" spans="1:14">
      <c r="A296" s="13">
        <v>46905</v>
      </c>
      <c r="B296" t="s">
        <v>41</v>
      </c>
      <c r="C296" t="s">
        <v>19</v>
      </c>
      <c r="D296" t="s">
        <v>42</v>
      </c>
      <c r="E296" s="7"/>
      <c r="F296" s="7"/>
      <c r="G296" s="7"/>
      <c r="H296" s="7"/>
      <c r="I296" s="7"/>
      <c r="J296" s="4">
        <f>IFERROR(I296-E296-F296+G296+H296,0)</f>
        <v>0</v>
      </c>
      <c r="K296" s="6">
        <f>IFERROR(J296/(E296+F296),0)</f>
        <v>0</v>
      </c>
      <c r="L296" s="6">
        <f>IFERROR(K296-SUMIFS($K$4:K296,$B$4:B296,B296,$C$4:C296,C296,$A$4:A296,EDATE(A296,-1)),K296)</f>
        <v>0</v>
      </c>
      <c r="M296" s="6">
        <f>IFERROR((I296+SUMIFS($G$4:G296,$B$4:B296,B296,$C$4:C296,C296,$A$4:A296,"&lt;="&amp;A296)+SUMIFS($H$4:H296,$B$4:B296,B296,$C$4:C296,C296,$A$4:A296,"&lt;="&amp;A296)-SUMIFS($F$4:F296,$B$4:B296,B296,$C$4:C296,C296,$A$4:A296,"&lt;="&amp;A296))/SUMIFS($F$4:F296,$B$4:B296,B296,$C$4:C296,C296,$A$4:A296,"&lt;="&amp;A296),0)</f>
        <v>0</v>
      </c>
      <c r="N296" s="8"/>
    </row>
    <row r="297" spans="1:14">
      <c r="A297" s="13">
        <v>46905</v>
      </c>
      <c r="B297" t="s">
        <v>41</v>
      </c>
      <c r="C297" t="s">
        <v>23</v>
      </c>
      <c r="D297" t="s">
        <v>43</v>
      </c>
      <c r="E297" s="7"/>
      <c r="F297" s="7"/>
      <c r="G297" s="7"/>
      <c r="H297" s="7"/>
      <c r="I297" s="7"/>
      <c r="J297" s="4">
        <f>IFERROR(I297-E297-F297+G297+H297,0)</f>
        <v>0</v>
      </c>
      <c r="K297" s="6">
        <f>IFERROR(J297/(E297+F297),0)</f>
        <v>0</v>
      </c>
      <c r="L297" s="6">
        <f>IFERROR(K297-SUMIFS($K$4:K297,$B$4:B297,B297,$C$4:C297,C297,$A$4:A297,EDATE(A297,-1)),K297)</f>
        <v>0</v>
      </c>
      <c r="M297" s="6">
        <f>IFERROR((I297+SUMIFS($G$4:G297,$B$4:B297,B297,$C$4:C297,C297,$A$4:A297,"&lt;="&amp;A297)+SUMIFS($H$4:H297,$B$4:B297,B297,$C$4:C297,C297,$A$4:A297,"&lt;="&amp;A297)-SUMIFS($F$4:F297,$B$4:B297,B297,$C$4:C297,C297,$A$4:A297,"&lt;="&amp;A297))/SUMIFS($F$4:F297,$B$4:B297,B297,$C$4:C297,C297,$A$4:A297,"&lt;="&amp;A297),0)</f>
        <v>0</v>
      </c>
      <c r="N297" s="8"/>
    </row>
    <row r="298" spans="1:14">
      <c r="A298" s="13">
        <v>46935</v>
      </c>
      <c r="B298" t="s">
        <v>18</v>
      </c>
      <c r="C298" t="s">
        <v>19</v>
      </c>
      <c r="D298" t="s">
        <v>21</v>
      </c>
      <c r="E298" s="7"/>
      <c r="F298" s="7"/>
      <c r="G298" s="7"/>
      <c r="H298" s="7"/>
      <c r="I298" s="7"/>
      <c r="J298" s="4">
        <f>IFERROR(I298-E298-F298+G298+H298,0)</f>
        <v>0</v>
      </c>
      <c r="K298" s="6">
        <f>IFERROR(J298/(E298+F298),0)</f>
        <v>0</v>
      </c>
      <c r="L298" s="6">
        <f>IFERROR(K298-SUMIFS($K$4:K298,$B$4:B298,B298,$C$4:C298,C298,$A$4:A298,EDATE(A298,-1)),K298)</f>
        <v>0</v>
      </c>
      <c r="M298" s="6">
        <f>IFERROR((I298+SUMIFS($G$4:G298,$B$4:B298,B298,$C$4:C298,C298,$A$4:A298,"&lt;="&amp;A298)+SUMIFS($H$4:H298,$B$4:B298,B298,$C$4:C298,C298,$A$4:A298,"&lt;="&amp;A298)-SUMIFS($F$4:F298,$B$4:B298,B298,$C$4:C298,C298,$A$4:A298,"&lt;="&amp;A298))/SUMIFS($F$4:F298,$B$4:B298,B298,$C$4:C298,C298,$A$4:A298,"&lt;="&amp;A298),0)</f>
        <v>0</v>
      </c>
      <c r="N298" s="8"/>
    </row>
    <row r="299" spans="1:14">
      <c r="A299" s="13">
        <v>46935</v>
      </c>
      <c r="B299" t="s">
        <v>18</v>
      </c>
      <c r="C299" t="s">
        <v>23</v>
      </c>
      <c r="D299" t="s">
        <v>24</v>
      </c>
      <c r="E299" s="7"/>
      <c r="F299" s="7"/>
      <c r="G299" s="7"/>
      <c r="H299" s="7"/>
      <c r="I299" s="7"/>
      <c r="J299" s="4">
        <f>IFERROR(I299-E299-F299+G299+H299,0)</f>
        <v>0</v>
      </c>
      <c r="K299" s="6">
        <f>IFERROR(J299/(E299+F299),0)</f>
        <v>0</v>
      </c>
      <c r="L299" s="6">
        <f>IFERROR(K299-SUMIFS($K$4:K299,$B$4:B299,B299,$C$4:C299,C299,$A$4:A299,EDATE(A299,-1)),K299)</f>
        <v>0</v>
      </c>
      <c r="M299" s="6">
        <f>IFERROR((I299+SUMIFS($G$4:G299,$B$4:B299,B299,$C$4:C299,C299,$A$4:A299,"&lt;="&amp;A299)+SUMIFS($H$4:H299,$B$4:B299,B299,$C$4:C299,C299,$A$4:A299,"&lt;="&amp;A299)-SUMIFS($F$4:F299,$B$4:B299,B299,$C$4:C299,C299,$A$4:A299,"&lt;="&amp;A299))/SUMIFS($F$4:F299,$B$4:B299,B299,$C$4:C299,C299,$A$4:A299,"&lt;="&amp;A299),0)</f>
        <v>0</v>
      </c>
      <c r="N299" s="8"/>
    </row>
    <row r="300" spans="1:14">
      <c r="A300" s="13">
        <v>46935</v>
      </c>
      <c r="B300" t="s">
        <v>26</v>
      </c>
      <c r="C300" t="s">
        <v>19</v>
      </c>
      <c r="D300" t="s">
        <v>27</v>
      </c>
      <c r="E300" s="7"/>
      <c r="F300" s="7"/>
      <c r="G300" s="7"/>
      <c r="H300" s="7"/>
      <c r="I300" s="7"/>
      <c r="J300" s="4">
        <f>IFERROR(I300-E300-F300+G300+H300,0)</f>
        <v>0</v>
      </c>
      <c r="K300" s="6">
        <f>IFERROR(J300/(E300+F300),0)</f>
        <v>0</v>
      </c>
      <c r="L300" s="6">
        <f>IFERROR(K300-SUMIFS($K$4:K300,$B$4:B300,B300,$C$4:C300,C300,$A$4:A300,EDATE(A300,-1)),K300)</f>
        <v>0</v>
      </c>
      <c r="M300" s="6">
        <f>IFERROR((I300+SUMIFS($G$4:G300,$B$4:B300,B300,$C$4:C300,C300,$A$4:A300,"&lt;="&amp;A300)+SUMIFS($H$4:H300,$B$4:B300,B300,$C$4:C300,C300,$A$4:A300,"&lt;="&amp;A300)-SUMIFS($F$4:F300,$B$4:B300,B300,$C$4:C300,C300,$A$4:A300,"&lt;="&amp;A300))/SUMIFS($F$4:F300,$B$4:B300,B300,$C$4:C300,C300,$A$4:A300,"&lt;="&amp;A300),0)</f>
        <v>0</v>
      </c>
      <c r="N300" s="8"/>
    </row>
    <row r="301" spans="1:14">
      <c r="A301" s="13">
        <v>46935</v>
      </c>
      <c r="B301" t="s">
        <v>26</v>
      </c>
      <c r="C301" t="s">
        <v>23</v>
      </c>
      <c r="D301" t="s">
        <v>28</v>
      </c>
      <c r="E301" s="7"/>
      <c r="F301" s="7"/>
      <c r="G301" s="7"/>
      <c r="H301" s="7"/>
      <c r="I301" s="7"/>
      <c r="J301" s="4">
        <f>IFERROR(I301-E301-F301+G301+H301,0)</f>
        <v>0</v>
      </c>
      <c r="K301" s="6">
        <f>IFERROR(J301/(E301+F301),0)</f>
        <v>0</v>
      </c>
      <c r="L301" s="6">
        <f>IFERROR(K301-SUMIFS($K$4:K301,$B$4:B301,B301,$C$4:C301,C301,$A$4:A301,EDATE(A301,-1)),K301)</f>
        <v>0</v>
      </c>
      <c r="M301" s="6">
        <f>IFERROR((I301+SUMIFS($G$4:G301,$B$4:B301,B301,$C$4:C301,C301,$A$4:A301,"&lt;="&amp;A301)+SUMIFS($H$4:H301,$B$4:B301,B301,$C$4:C301,C301,$A$4:A301,"&lt;="&amp;A301)-SUMIFS($F$4:F301,$B$4:B301,B301,$C$4:C301,C301,$A$4:A301,"&lt;="&amp;A301))/SUMIFS($F$4:F301,$B$4:B301,B301,$C$4:C301,C301,$A$4:A301,"&lt;="&amp;A301),0)</f>
        <v>0</v>
      </c>
      <c r="N301" s="8"/>
    </row>
    <row r="302" spans="1:14">
      <c r="A302" s="13">
        <v>46935</v>
      </c>
      <c r="B302" t="s">
        <v>29</v>
      </c>
      <c r="C302" t="s">
        <v>19</v>
      </c>
      <c r="D302" t="s">
        <v>30</v>
      </c>
      <c r="E302" s="7"/>
      <c r="F302" s="7"/>
      <c r="G302" s="7"/>
      <c r="H302" s="7"/>
      <c r="I302" s="7"/>
      <c r="J302" s="4">
        <f>IFERROR(I302-E302-F302+G302+H302,0)</f>
        <v>0</v>
      </c>
      <c r="K302" s="6">
        <f>IFERROR(J302/(E302+F302),0)</f>
        <v>0</v>
      </c>
      <c r="L302" s="6">
        <f>IFERROR(K302-SUMIFS($K$4:K302,$B$4:B302,B302,$C$4:C302,C302,$A$4:A302,EDATE(A302,-1)),K302)</f>
        <v>0</v>
      </c>
      <c r="M302" s="6">
        <f>IFERROR((I302+SUMIFS($G$4:G302,$B$4:B302,B302,$C$4:C302,C302,$A$4:A302,"&lt;="&amp;A302)+SUMIFS($H$4:H302,$B$4:B302,B302,$C$4:C302,C302,$A$4:A302,"&lt;="&amp;A302)-SUMIFS($F$4:F302,$B$4:B302,B302,$C$4:C302,C302,$A$4:A302,"&lt;="&amp;A302))/SUMIFS($F$4:F302,$B$4:B302,B302,$C$4:C302,C302,$A$4:A302,"&lt;="&amp;A302),0)</f>
        <v>0</v>
      </c>
      <c r="N302" s="8"/>
    </row>
    <row r="303" spans="1:14">
      <c r="A303" s="13">
        <v>46935</v>
      </c>
      <c r="B303" t="s">
        <v>29</v>
      </c>
      <c r="C303" t="s">
        <v>23</v>
      </c>
      <c r="D303" t="s">
        <v>31</v>
      </c>
      <c r="E303" s="7"/>
      <c r="F303" s="7"/>
      <c r="G303" s="7"/>
      <c r="H303" s="7"/>
      <c r="I303" s="7"/>
      <c r="J303" s="4">
        <f>IFERROR(I303-E303-F303+G303+H303,0)</f>
        <v>0</v>
      </c>
      <c r="K303" s="6">
        <f>IFERROR(J303/(E303+F303),0)</f>
        <v>0</v>
      </c>
      <c r="L303" s="6">
        <f>IFERROR(K303-SUMIFS($K$4:K303,$B$4:B303,B303,$C$4:C303,C303,$A$4:A303,EDATE(A303,-1)),K303)</f>
        <v>0</v>
      </c>
      <c r="M303" s="6">
        <f>IFERROR((I303+SUMIFS($G$4:G303,$B$4:B303,B303,$C$4:C303,C303,$A$4:A303,"&lt;="&amp;A303)+SUMIFS($H$4:H303,$B$4:B303,B303,$C$4:C303,C303,$A$4:A303,"&lt;="&amp;A303)-SUMIFS($F$4:F303,$B$4:B303,B303,$C$4:C303,C303,$A$4:A303,"&lt;="&amp;A303))/SUMIFS($F$4:F303,$B$4:B303,B303,$C$4:C303,C303,$A$4:A303,"&lt;="&amp;A303),0)</f>
        <v>0</v>
      </c>
      <c r="N303" s="8"/>
    </row>
    <row r="304" spans="1:14">
      <c r="A304" s="13">
        <v>46935</v>
      </c>
      <c r="B304" t="s">
        <v>32</v>
      </c>
      <c r="C304" t="s">
        <v>19</v>
      </c>
      <c r="D304" t="s">
        <v>33</v>
      </c>
      <c r="E304" s="7"/>
      <c r="F304" s="7"/>
      <c r="G304" s="7"/>
      <c r="H304" s="7"/>
      <c r="I304" s="7"/>
      <c r="J304" s="4">
        <f>IFERROR(I304-E304-F304+G304+H304,0)</f>
        <v>0</v>
      </c>
      <c r="K304" s="6">
        <f>IFERROR(J304/(E304+F304),0)</f>
        <v>0</v>
      </c>
      <c r="L304" s="6">
        <f>IFERROR(K304-SUMIFS($K$4:K304,$B$4:B304,B304,$C$4:C304,C304,$A$4:A304,EDATE(A304,-1)),K304)</f>
        <v>0</v>
      </c>
      <c r="M304" s="6">
        <f>IFERROR((I304+SUMIFS($G$4:G304,$B$4:B304,B304,$C$4:C304,C304,$A$4:A304,"&lt;="&amp;A304)+SUMIFS($H$4:H304,$B$4:B304,B304,$C$4:C304,C304,$A$4:A304,"&lt;="&amp;A304)-SUMIFS($F$4:F304,$B$4:B304,B304,$C$4:C304,C304,$A$4:A304,"&lt;="&amp;A304))/SUMIFS($F$4:F304,$B$4:B304,B304,$C$4:C304,C304,$A$4:A304,"&lt;="&amp;A304),0)</f>
        <v>0</v>
      </c>
      <c r="N304" s="8"/>
    </row>
    <row r="305" spans="1:14">
      <c r="A305" s="13">
        <v>46935</v>
      </c>
      <c r="B305" t="s">
        <v>32</v>
      </c>
      <c r="C305" t="s">
        <v>23</v>
      </c>
      <c r="D305" t="s">
        <v>34</v>
      </c>
      <c r="E305" s="7"/>
      <c r="F305" s="7"/>
      <c r="G305" s="7"/>
      <c r="H305" s="7"/>
      <c r="I305" s="7"/>
      <c r="J305" s="4">
        <f>IFERROR(I305-E305-F305+G305+H305,0)</f>
        <v>0</v>
      </c>
      <c r="K305" s="6">
        <f>IFERROR(J305/(E305+F305),0)</f>
        <v>0</v>
      </c>
      <c r="L305" s="6">
        <f>IFERROR(K305-SUMIFS($K$4:K305,$B$4:B305,B305,$C$4:C305,C305,$A$4:A305,EDATE(A305,-1)),K305)</f>
        <v>0</v>
      </c>
      <c r="M305" s="6">
        <f>IFERROR((I305+SUMIFS($G$4:G305,$B$4:B305,B305,$C$4:C305,C305,$A$4:A305,"&lt;="&amp;A305)+SUMIFS($H$4:H305,$B$4:B305,B305,$C$4:C305,C305,$A$4:A305,"&lt;="&amp;A305)-SUMIFS($F$4:F305,$B$4:B305,B305,$C$4:C305,C305,$A$4:A305,"&lt;="&amp;A305))/SUMIFS($F$4:F305,$B$4:B305,B305,$C$4:C305,C305,$A$4:A305,"&lt;="&amp;A305),0)</f>
        <v>0</v>
      </c>
      <c r="N305" s="8"/>
    </row>
    <row r="306" spans="1:14">
      <c r="A306" s="13">
        <v>46935</v>
      </c>
      <c r="B306" t="s">
        <v>35</v>
      </c>
      <c r="C306" t="s">
        <v>19</v>
      </c>
      <c r="D306" t="s">
        <v>36</v>
      </c>
      <c r="E306" s="7"/>
      <c r="F306" s="7"/>
      <c r="G306" s="7"/>
      <c r="H306" s="7"/>
      <c r="I306" s="7"/>
      <c r="J306" s="4">
        <f>IFERROR(I306-E306-F306+G306+H306,0)</f>
        <v>0</v>
      </c>
      <c r="K306" s="6">
        <f>IFERROR(J306/(E306+F306),0)</f>
        <v>0</v>
      </c>
      <c r="L306" s="6">
        <f>IFERROR(K306-SUMIFS($K$4:K306,$B$4:B306,B306,$C$4:C306,C306,$A$4:A306,EDATE(A306,-1)),K306)</f>
        <v>0</v>
      </c>
      <c r="M306" s="6">
        <f>IFERROR((I306+SUMIFS($G$4:G306,$B$4:B306,B306,$C$4:C306,C306,$A$4:A306,"&lt;="&amp;A306)+SUMIFS($H$4:H306,$B$4:B306,B306,$C$4:C306,C306,$A$4:A306,"&lt;="&amp;A306)-SUMIFS($F$4:F306,$B$4:B306,B306,$C$4:C306,C306,$A$4:A306,"&lt;="&amp;A306))/SUMIFS($F$4:F306,$B$4:B306,B306,$C$4:C306,C306,$A$4:A306,"&lt;="&amp;A306),0)</f>
        <v>0</v>
      </c>
      <c r="N306" s="8"/>
    </row>
    <row r="307" spans="1:14">
      <c r="A307" s="13">
        <v>46935</v>
      </c>
      <c r="B307" t="s">
        <v>35</v>
      </c>
      <c r="C307" t="s">
        <v>23</v>
      </c>
      <c r="D307" t="s">
        <v>37</v>
      </c>
      <c r="E307" s="7"/>
      <c r="F307" s="7"/>
      <c r="G307" s="7"/>
      <c r="H307" s="7"/>
      <c r="I307" s="7"/>
      <c r="J307" s="4">
        <f>IFERROR(I307-E307-F307+G307+H307,0)</f>
        <v>0</v>
      </c>
      <c r="K307" s="6">
        <f>IFERROR(J307/(E307+F307),0)</f>
        <v>0</v>
      </c>
      <c r="L307" s="6">
        <f>IFERROR(K307-SUMIFS($K$4:K307,$B$4:B307,B307,$C$4:C307,C307,$A$4:A307,EDATE(A307,-1)),K307)</f>
        <v>0</v>
      </c>
      <c r="M307" s="6">
        <f>IFERROR((I307+SUMIFS($G$4:G307,$B$4:B307,B307,$C$4:C307,C307,$A$4:A307,"&lt;="&amp;A307)+SUMIFS($H$4:H307,$B$4:B307,B307,$C$4:C307,C307,$A$4:A307,"&lt;="&amp;A307)-SUMIFS($F$4:F307,$B$4:B307,B307,$C$4:C307,C307,$A$4:A307,"&lt;="&amp;A307))/SUMIFS($F$4:F307,$B$4:B307,B307,$C$4:C307,C307,$A$4:A307,"&lt;="&amp;A307),0)</f>
        <v>0</v>
      </c>
      <c r="N307" s="8"/>
    </row>
    <row r="308" spans="1:14">
      <c r="A308" s="13">
        <v>46935</v>
      </c>
      <c r="B308" t="s">
        <v>38</v>
      </c>
      <c r="C308" t="s">
        <v>19</v>
      </c>
      <c r="D308" t="s">
        <v>39</v>
      </c>
      <c r="E308" s="7"/>
      <c r="F308" s="7"/>
      <c r="G308" s="7"/>
      <c r="H308" s="7"/>
      <c r="I308" s="7"/>
      <c r="J308" s="4">
        <f>IFERROR(I308-E308-F308+G308+H308,0)</f>
        <v>0</v>
      </c>
      <c r="K308" s="6">
        <f>IFERROR(J308/(E308+F308),0)</f>
        <v>0</v>
      </c>
      <c r="L308" s="6">
        <f>IFERROR(K308-SUMIFS($K$4:K308,$B$4:B308,B308,$C$4:C308,C308,$A$4:A308,EDATE(A308,-1)),K308)</f>
        <v>0</v>
      </c>
      <c r="M308" s="6">
        <f>IFERROR((I308+SUMIFS($G$4:G308,$B$4:B308,B308,$C$4:C308,C308,$A$4:A308,"&lt;="&amp;A308)+SUMIFS($H$4:H308,$B$4:B308,B308,$C$4:C308,C308,$A$4:A308,"&lt;="&amp;A308)-SUMIFS($F$4:F308,$B$4:B308,B308,$C$4:C308,C308,$A$4:A308,"&lt;="&amp;A308))/SUMIFS($F$4:F308,$B$4:B308,B308,$C$4:C308,C308,$A$4:A308,"&lt;="&amp;A308),0)</f>
        <v>0</v>
      </c>
      <c r="N308" s="8"/>
    </row>
    <row r="309" spans="1:14">
      <c r="A309" s="13">
        <v>46935</v>
      </c>
      <c r="B309" t="s">
        <v>38</v>
      </c>
      <c r="C309" t="s">
        <v>23</v>
      </c>
      <c r="D309" t="s">
        <v>40</v>
      </c>
      <c r="E309" s="7"/>
      <c r="F309" s="7"/>
      <c r="G309" s="7"/>
      <c r="H309" s="7"/>
      <c r="I309" s="7"/>
      <c r="J309" s="4">
        <f>IFERROR(I309-E309-F309+G309+H309,0)</f>
        <v>0</v>
      </c>
      <c r="K309" s="6">
        <f>IFERROR(J309/(E309+F309),0)</f>
        <v>0</v>
      </c>
      <c r="L309" s="6">
        <f>IFERROR(K309-SUMIFS($K$4:K309,$B$4:B309,B309,$C$4:C309,C309,$A$4:A309,EDATE(A309,-1)),K309)</f>
        <v>0</v>
      </c>
      <c r="M309" s="6">
        <f>IFERROR((I309+SUMIFS($G$4:G309,$B$4:B309,B309,$C$4:C309,C309,$A$4:A309,"&lt;="&amp;A309)+SUMIFS($H$4:H309,$B$4:B309,B309,$C$4:C309,C309,$A$4:A309,"&lt;="&amp;A309)-SUMIFS($F$4:F309,$B$4:B309,B309,$C$4:C309,C309,$A$4:A309,"&lt;="&amp;A309))/SUMIFS($F$4:F309,$B$4:B309,B309,$C$4:C309,C309,$A$4:A309,"&lt;="&amp;A309),0)</f>
        <v>0</v>
      </c>
      <c r="N309" s="8"/>
    </row>
    <row r="310" spans="1:14">
      <c r="A310" s="13">
        <v>46935</v>
      </c>
      <c r="B310" t="s">
        <v>41</v>
      </c>
      <c r="C310" t="s">
        <v>19</v>
      </c>
      <c r="D310" t="s">
        <v>42</v>
      </c>
      <c r="E310" s="7"/>
      <c r="F310" s="7"/>
      <c r="G310" s="7"/>
      <c r="H310" s="7"/>
      <c r="I310" s="7"/>
      <c r="J310" s="4">
        <f>IFERROR(I310-E310-F310+G310+H310,0)</f>
        <v>0</v>
      </c>
      <c r="K310" s="6">
        <f>IFERROR(J310/(E310+F310),0)</f>
        <v>0</v>
      </c>
      <c r="L310" s="6">
        <f>IFERROR(K310-SUMIFS($K$4:K310,$B$4:B310,B310,$C$4:C310,C310,$A$4:A310,EDATE(A310,-1)),K310)</f>
        <v>0</v>
      </c>
      <c r="M310" s="6">
        <f>IFERROR((I310+SUMIFS($G$4:G310,$B$4:B310,B310,$C$4:C310,C310,$A$4:A310,"&lt;="&amp;A310)+SUMIFS($H$4:H310,$B$4:B310,B310,$C$4:C310,C310,$A$4:A310,"&lt;="&amp;A310)-SUMIFS($F$4:F310,$B$4:B310,B310,$C$4:C310,C310,$A$4:A310,"&lt;="&amp;A310))/SUMIFS($F$4:F310,$B$4:B310,B310,$C$4:C310,C310,$A$4:A310,"&lt;="&amp;A310),0)</f>
        <v>0</v>
      </c>
      <c r="N310" s="8"/>
    </row>
    <row r="311" spans="1:14">
      <c r="A311" s="13">
        <v>46935</v>
      </c>
      <c r="B311" t="s">
        <v>41</v>
      </c>
      <c r="C311" t="s">
        <v>23</v>
      </c>
      <c r="D311" t="s">
        <v>43</v>
      </c>
      <c r="E311" s="7"/>
      <c r="F311" s="7"/>
      <c r="G311" s="7"/>
      <c r="H311" s="7"/>
      <c r="I311" s="7"/>
      <c r="J311" s="4">
        <f>IFERROR(I311-E311-F311+G311+H311,0)</f>
        <v>0</v>
      </c>
      <c r="K311" s="6">
        <f>IFERROR(J311/(E311+F311),0)</f>
        <v>0</v>
      </c>
      <c r="L311" s="6">
        <f>IFERROR(K311-SUMIFS($K$4:K311,$B$4:B311,B311,$C$4:C311,C311,$A$4:A311,EDATE(A311,-1)),K311)</f>
        <v>0</v>
      </c>
      <c r="M311" s="6">
        <f>IFERROR((I311+SUMIFS($G$4:G311,$B$4:B311,B311,$C$4:C311,C311,$A$4:A311,"&lt;="&amp;A311)+SUMIFS($H$4:H311,$B$4:B311,B311,$C$4:C311,C311,$A$4:A311,"&lt;="&amp;A311)-SUMIFS($F$4:F311,$B$4:B311,B311,$C$4:C311,C311,$A$4:A311,"&lt;="&amp;A311))/SUMIFS($F$4:F311,$B$4:B311,B311,$C$4:C311,C311,$A$4:A311,"&lt;="&amp;A311),0)</f>
        <v>0</v>
      </c>
      <c r="N311" s="8"/>
    </row>
    <row r="312" spans="1:14">
      <c r="A312" s="13">
        <v>46966</v>
      </c>
      <c r="B312" t="s">
        <v>18</v>
      </c>
      <c r="C312" t="s">
        <v>19</v>
      </c>
      <c r="D312" t="s">
        <v>21</v>
      </c>
      <c r="E312" s="7"/>
      <c r="F312" s="7"/>
      <c r="G312" s="7"/>
      <c r="H312" s="7"/>
      <c r="I312" s="7"/>
      <c r="J312" s="4">
        <f>IFERROR(I312-E312-F312+G312+H312,0)</f>
        <v>0</v>
      </c>
      <c r="K312" s="6">
        <f>IFERROR(J312/(E312+F312),0)</f>
        <v>0</v>
      </c>
      <c r="L312" s="6">
        <f>IFERROR(K312-SUMIFS($K$4:K312,$B$4:B312,B312,$C$4:C312,C312,$A$4:A312,EDATE(A312,-1)),K312)</f>
        <v>0</v>
      </c>
      <c r="M312" s="6">
        <f>IFERROR((I312+SUMIFS($G$4:G312,$B$4:B312,B312,$C$4:C312,C312,$A$4:A312,"&lt;="&amp;A312)+SUMIFS($H$4:H312,$B$4:B312,B312,$C$4:C312,C312,$A$4:A312,"&lt;="&amp;A312)-SUMIFS($F$4:F312,$B$4:B312,B312,$C$4:C312,C312,$A$4:A312,"&lt;="&amp;A312))/SUMIFS($F$4:F312,$B$4:B312,B312,$C$4:C312,C312,$A$4:A312,"&lt;="&amp;A312),0)</f>
        <v>0</v>
      </c>
      <c r="N312" s="8"/>
    </row>
    <row r="313" spans="1:14">
      <c r="A313" s="13">
        <v>46966</v>
      </c>
      <c r="B313" t="s">
        <v>18</v>
      </c>
      <c r="C313" t="s">
        <v>23</v>
      </c>
      <c r="D313" t="s">
        <v>24</v>
      </c>
      <c r="E313" s="7"/>
      <c r="F313" s="7"/>
      <c r="G313" s="7"/>
      <c r="H313" s="7"/>
      <c r="I313" s="7"/>
      <c r="J313" s="4">
        <f>IFERROR(I313-E313-F313+G313+H313,0)</f>
        <v>0</v>
      </c>
      <c r="K313" s="6">
        <f>IFERROR(J313/(E313+F313),0)</f>
        <v>0</v>
      </c>
      <c r="L313" s="6">
        <f>IFERROR(K313-SUMIFS($K$4:K313,$B$4:B313,B313,$C$4:C313,C313,$A$4:A313,EDATE(A313,-1)),K313)</f>
        <v>0</v>
      </c>
      <c r="M313" s="6">
        <f>IFERROR((I313+SUMIFS($G$4:G313,$B$4:B313,B313,$C$4:C313,C313,$A$4:A313,"&lt;="&amp;A313)+SUMIFS($H$4:H313,$B$4:B313,B313,$C$4:C313,C313,$A$4:A313,"&lt;="&amp;A313)-SUMIFS($F$4:F313,$B$4:B313,B313,$C$4:C313,C313,$A$4:A313,"&lt;="&amp;A313))/SUMIFS($F$4:F313,$B$4:B313,B313,$C$4:C313,C313,$A$4:A313,"&lt;="&amp;A313),0)</f>
        <v>0</v>
      </c>
      <c r="N313" s="8"/>
    </row>
    <row r="314" spans="1:14">
      <c r="A314" s="13">
        <v>46966</v>
      </c>
      <c r="B314" t="s">
        <v>26</v>
      </c>
      <c r="C314" t="s">
        <v>19</v>
      </c>
      <c r="D314" t="s">
        <v>27</v>
      </c>
      <c r="E314" s="7"/>
      <c r="F314" s="7"/>
      <c r="G314" s="7"/>
      <c r="H314" s="7"/>
      <c r="I314" s="7"/>
      <c r="J314" s="4">
        <f>IFERROR(I314-E314-F314+G314+H314,0)</f>
        <v>0</v>
      </c>
      <c r="K314" s="6">
        <f>IFERROR(J314/(E314+F314),0)</f>
        <v>0</v>
      </c>
      <c r="L314" s="6">
        <f>IFERROR(K314-SUMIFS($K$4:K314,$B$4:B314,B314,$C$4:C314,C314,$A$4:A314,EDATE(A314,-1)),K314)</f>
        <v>0</v>
      </c>
      <c r="M314" s="6">
        <f>IFERROR((I314+SUMIFS($G$4:G314,$B$4:B314,B314,$C$4:C314,C314,$A$4:A314,"&lt;="&amp;A314)+SUMIFS($H$4:H314,$B$4:B314,B314,$C$4:C314,C314,$A$4:A314,"&lt;="&amp;A314)-SUMIFS($F$4:F314,$B$4:B314,B314,$C$4:C314,C314,$A$4:A314,"&lt;="&amp;A314))/SUMIFS($F$4:F314,$B$4:B314,B314,$C$4:C314,C314,$A$4:A314,"&lt;="&amp;A314),0)</f>
        <v>0</v>
      </c>
      <c r="N314" s="8"/>
    </row>
    <row r="315" spans="1:14">
      <c r="A315" s="13">
        <v>46966</v>
      </c>
      <c r="B315" t="s">
        <v>26</v>
      </c>
      <c r="C315" t="s">
        <v>23</v>
      </c>
      <c r="D315" t="s">
        <v>28</v>
      </c>
      <c r="E315" s="7"/>
      <c r="F315" s="7"/>
      <c r="G315" s="7"/>
      <c r="H315" s="7"/>
      <c r="I315" s="7"/>
      <c r="J315" s="4">
        <f>IFERROR(I315-E315-F315+G315+H315,0)</f>
        <v>0</v>
      </c>
      <c r="K315" s="6">
        <f>IFERROR(J315/(E315+F315),0)</f>
        <v>0</v>
      </c>
      <c r="L315" s="6">
        <f>IFERROR(K315-SUMIFS($K$4:K315,$B$4:B315,B315,$C$4:C315,C315,$A$4:A315,EDATE(A315,-1)),K315)</f>
        <v>0</v>
      </c>
      <c r="M315" s="6">
        <f>IFERROR((I315+SUMIFS($G$4:G315,$B$4:B315,B315,$C$4:C315,C315,$A$4:A315,"&lt;="&amp;A315)+SUMIFS($H$4:H315,$B$4:B315,B315,$C$4:C315,C315,$A$4:A315,"&lt;="&amp;A315)-SUMIFS($F$4:F315,$B$4:B315,B315,$C$4:C315,C315,$A$4:A315,"&lt;="&amp;A315))/SUMIFS($F$4:F315,$B$4:B315,B315,$C$4:C315,C315,$A$4:A315,"&lt;="&amp;A315),0)</f>
        <v>0</v>
      </c>
      <c r="N315" s="8"/>
    </row>
    <row r="316" spans="1:14">
      <c r="A316" s="13">
        <v>46966</v>
      </c>
      <c r="B316" t="s">
        <v>29</v>
      </c>
      <c r="C316" t="s">
        <v>19</v>
      </c>
      <c r="D316" t="s">
        <v>30</v>
      </c>
      <c r="E316" s="7"/>
      <c r="F316" s="7"/>
      <c r="G316" s="7"/>
      <c r="H316" s="7"/>
      <c r="I316" s="7"/>
      <c r="J316" s="4">
        <f>IFERROR(I316-E316-F316+G316+H316,0)</f>
        <v>0</v>
      </c>
      <c r="K316" s="6">
        <f>IFERROR(J316/(E316+F316),0)</f>
        <v>0</v>
      </c>
      <c r="L316" s="6">
        <f>IFERROR(K316-SUMIFS($K$4:K316,$B$4:B316,B316,$C$4:C316,C316,$A$4:A316,EDATE(A316,-1)),K316)</f>
        <v>0</v>
      </c>
      <c r="M316" s="6">
        <f>IFERROR((I316+SUMIFS($G$4:G316,$B$4:B316,B316,$C$4:C316,C316,$A$4:A316,"&lt;="&amp;A316)+SUMIFS($H$4:H316,$B$4:B316,B316,$C$4:C316,C316,$A$4:A316,"&lt;="&amp;A316)-SUMIFS($F$4:F316,$B$4:B316,B316,$C$4:C316,C316,$A$4:A316,"&lt;="&amp;A316))/SUMIFS($F$4:F316,$B$4:B316,B316,$C$4:C316,C316,$A$4:A316,"&lt;="&amp;A316),0)</f>
        <v>0</v>
      </c>
      <c r="N316" s="8"/>
    </row>
    <row r="317" spans="1:14">
      <c r="A317" s="13">
        <v>46966</v>
      </c>
      <c r="B317" t="s">
        <v>29</v>
      </c>
      <c r="C317" t="s">
        <v>23</v>
      </c>
      <c r="D317" t="s">
        <v>31</v>
      </c>
      <c r="E317" s="7"/>
      <c r="F317" s="7"/>
      <c r="G317" s="7"/>
      <c r="H317" s="7"/>
      <c r="I317" s="7"/>
      <c r="J317" s="4">
        <f>IFERROR(I317-E317-F317+G317+H317,0)</f>
        <v>0</v>
      </c>
      <c r="K317" s="6">
        <f>IFERROR(J317/(E317+F317),0)</f>
        <v>0</v>
      </c>
      <c r="L317" s="6">
        <f>IFERROR(K317-SUMIFS($K$4:K317,$B$4:B317,B317,$C$4:C317,C317,$A$4:A317,EDATE(A317,-1)),K317)</f>
        <v>0</v>
      </c>
      <c r="M317" s="6">
        <f>IFERROR((I317+SUMIFS($G$4:G317,$B$4:B317,B317,$C$4:C317,C317,$A$4:A317,"&lt;="&amp;A317)+SUMIFS($H$4:H317,$B$4:B317,B317,$C$4:C317,C317,$A$4:A317,"&lt;="&amp;A317)-SUMIFS($F$4:F317,$B$4:B317,B317,$C$4:C317,C317,$A$4:A317,"&lt;="&amp;A317))/SUMIFS($F$4:F317,$B$4:B317,B317,$C$4:C317,C317,$A$4:A317,"&lt;="&amp;A317),0)</f>
        <v>0</v>
      </c>
      <c r="N317" s="8"/>
    </row>
    <row r="318" spans="1:14">
      <c r="A318" s="13">
        <v>46966</v>
      </c>
      <c r="B318" t="s">
        <v>32</v>
      </c>
      <c r="C318" t="s">
        <v>19</v>
      </c>
      <c r="D318" t="s">
        <v>33</v>
      </c>
      <c r="E318" s="7"/>
      <c r="F318" s="7"/>
      <c r="G318" s="7"/>
      <c r="H318" s="7"/>
      <c r="I318" s="7"/>
      <c r="J318" s="4">
        <f>IFERROR(I318-E318-F318+G318+H318,0)</f>
        <v>0</v>
      </c>
      <c r="K318" s="6">
        <f>IFERROR(J318/(E318+F318),0)</f>
        <v>0</v>
      </c>
      <c r="L318" s="6">
        <f>IFERROR(K318-SUMIFS($K$4:K318,$B$4:B318,B318,$C$4:C318,C318,$A$4:A318,EDATE(A318,-1)),K318)</f>
        <v>0</v>
      </c>
      <c r="M318" s="6">
        <f>IFERROR((I318+SUMIFS($G$4:G318,$B$4:B318,B318,$C$4:C318,C318,$A$4:A318,"&lt;="&amp;A318)+SUMIFS($H$4:H318,$B$4:B318,B318,$C$4:C318,C318,$A$4:A318,"&lt;="&amp;A318)-SUMIFS($F$4:F318,$B$4:B318,B318,$C$4:C318,C318,$A$4:A318,"&lt;="&amp;A318))/SUMIFS($F$4:F318,$B$4:B318,B318,$C$4:C318,C318,$A$4:A318,"&lt;="&amp;A318),0)</f>
        <v>0</v>
      </c>
      <c r="N318" s="8"/>
    </row>
    <row r="319" spans="1:14">
      <c r="A319" s="13">
        <v>46966</v>
      </c>
      <c r="B319" t="s">
        <v>32</v>
      </c>
      <c r="C319" t="s">
        <v>23</v>
      </c>
      <c r="D319" t="s">
        <v>34</v>
      </c>
      <c r="E319" s="7"/>
      <c r="F319" s="7"/>
      <c r="G319" s="7"/>
      <c r="H319" s="7"/>
      <c r="I319" s="7"/>
      <c r="J319" s="4">
        <f>IFERROR(I319-E319-F319+G319+H319,0)</f>
        <v>0</v>
      </c>
      <c r="K319" s="6">
        <f>IFERROR(J319/(E319+F319),0)</f>
        <v>0</v>
      </c>
      <c r="L319" s="6">
        <f>IFERROR(K319-SUMIFS($K$4:K319,$B$4:B319,B319,$C$4:C319,C319,$A$4:A319,EDATE(A319,-1)),K319)</f>
        <v>0</v>
      </c>
      <c r="M319" s="6">
        <f>IFERROR((I319+SUMIFS($G$4:G319,$B$4:B319,B319,$C$4:C319,C319,$A$4:A319,"&lt;="&amp;A319)+SUMIFS($H$4:H319,$B$4:B319,B319,$C$4:C319,C319,$A$4:A319,"&lt;="&amp;A319)-SUMIFS($F$4:F319,$B$4:B319,B319,$C$4:C319,C319,$A$4:A319,"&lt;="&amp;A319))/SUMIFS($F$4:F319,$B$4:B319,B319,$C$4:C319,C319,$A$4:A319,"&lt;="&amp;A319),0)</f>
        <v>0</v>
      </c>
      <c r="N319" s="8"/>
    </row>
    <row r="320" spans="1:14">
      <c r="A320" s="13">
        <v>46966</v>
      </c>
      <c r="B320" t="s">
        <v>35</v>
      </c>
      <c r="C320" t="s">
        <v>19</v>
      </c>
      <c r="D320" t="s">
        <v>36</v>
      </c>
      <c r="E320" s="7"/>
      <c r="F320" s="7"/>
      <c r="G320" s="7"/>
      <c r="H320" s="7"/>
      <c r="I320" s="7"/>
      <c r="J320" s="4">
        <f>IFERROR(I320-E320-F320+G320+H320,0)</f>
        <v>0</v>
      </c>
      <c r="K320" s="6">
        <f>IFERROR(J320/(E320+F320),0)</f>
        <v>0</v>
      </c>
      <c r="L320" s="6">
        <f>IFERROR(K320-SUMIFS($K$4:K320,$B$4:B320,B320,$C$4:C320,C320,$A$4:A320,EDATE(A320,-1)),K320)</f>
        <v>0</v>
      </c>
      <c r="M320" s="6">
        <f>IFERROR((I320+SUMIFS($G$4:G320,$B$4:B320,B320,$C$4:C320,C320,$A$4:A320,"&lt;="&amp;A320)+SUMIFS($H$4:H320,$B$4:B320,B320,$C$4:C320,C320,$A$4:A320,"&lt;="&amp;A320)-SUMIFS($F$4:F320,$B$4:B320,B320,$C$4:C320,C320,$A$4:A320,"&lt;="&amp;A320))/SUMIFS($F$4:F320,$B$4:B320,B320,$C$4:C320,C320,$A$4:A320,"&lt;="&amp;A320),0)</f>
        <v>0</v>
      </c>
      <c r="N320" s="8"/>
    </row>
    <row r="321" spans="1:14">
      <c r="A321" s="13">
        <v>46966</v>
      </c>
      <c r="B321" t="s">
        <v>35</v>
      </c>
      <c r="C321" t="s">
        <v>23</v>
      </c>
      <c r="D321" t="s">
        <v>37</v>
      </c>
      <c r="E321" s="7"/>
      <c r="F321" s="7"/>
      <c r="G321" s="7"/>
      <c r="H321" s="7"/>
      <c r="I321" s="7"/>
      <c r="J321" s="4">
        <f>IFERROR(I321-E321-F321+G321+H321,0)</f>
        <v>0</v>
      </c>
      <c r="K321" s="6">
        <f>IFERROR(J321/(E321+F321),0)</f>
        <v>0</v>
      </c>
      <c r="L321" s="6">
        <f>IFERROR(K321-SUMIFS($K$4:K321,$B$4:B321,B321,$C$4:C321,C321,$A$4:A321,EDATE(A321,-1)),K321)</f>
        <v>0</v>
      </c>
      <c r="M321" s="6">
        <f>IFERROR((I321+SUMIFS($G$4:G321,$B$4:B321,B321,$C$4:C321,C321,$A$4:A321,"&lt;="&amp;A321)+SUMIFS($H$4:H321,$B$4:B321,B321,$C$4:C321,C321,$A$4:A321,"&lt;="&amp;A321)-SUMIFS($F$4:F321,$B$4:B321,B321,$C$4:C321,C321,$A$4:A321,"&lt;="&amp;A321))/SUMIFS($F$4:F321,$B$4:B321,B321,$C$4:C321,C321,$A$4:A321,"&lt;="&amp;A321),0)</f>
        <v>0</v>
      </c>
      <c r="N321" s="8"/>
    </row>
    <row r="322" spans="1:14">
      <c r="A322" s="13">
        <v>46966</v>
      </c>
      <c r="B322" t="s">
        <v>38</v>
      </c>
      <c r="C322" t="s">
        <v>19</v>
      </c>
      <c r="D322" t="s">
        <v>39</v>
      </c>
      <c r="E322" s="7"/>
      <c r="F322" s="7"/>
      <c r="G322" s="7"/>
      <c r="H322" s="7"/>
      <c r="I322" s="7"/>
      <c r="J322" s="4">
        <f>IFERROR(I322-E322-F322+G322+H322,0)</f>
        <v>0</v>
      </c>
      <c r="K322" s="6">
        <f>IFERROR(J322/(E322+F322),0)</f>
        <v>0</v>
      </c>
      <c r="L322" s="6">
        <f>IFERROR(K322-SUMIFS($K$4:K322,$B$4:B322,B322,$C$4:C322,C322,$A$4:A322,EDATE(A322,-1)),K322)</f>
        <v>0</v>
      </c>
      <c r="M322" s="6">
        <f>IFERROR((I322+SUMIFS($G$4:G322,$B$4:B322,B322,$C$4:C322,C322,$A$4:A322,"&lt;="&amp;A322)+SUMIFS($H$4:H322,$B$4:B322,B322,$C$4:C322,C322,$A$4:A322,"&lt;="&amp;A322)-SUMIFS($F$4:F322,$B$4:B322,B322,$C$4:C322,C322,$A$4:A322,"&lt;="&amp;A322))/SUMIFS($F$4:F322,$B$4:B322,B322,$C$4:C322,C322,$A$4:A322,"&lt;="&amp;A322),0)</f>
        <v>0</v>
      </c>
      <c r="N322" s="8"/>
    </row>
    <row r="323" spans="1:14">
      <c r="A323" s="13">
        <v>46966</v>
      </c>
      <c r="B323" t="s">
        <v>38</v>
      </c>
      <c r="C323" t="s">
        <v>23</v>
      </c>
      <c r="D323" t="s">
        <v>40</v>
      </c>
      <c r="E323" s="7"/>
      <c r="F323" s="7"/>
      <c r="G323" s="7"/>
      <c r="H323" s="7"/>
      <c r="I323" s="7"/>
      <c r="J323" s="4">
        <f>IFERROR(I323-E323-F323+G323+H323,0)</f>
        <v>0</v>
      </c>
      <c r="K323" s="6">
        <f>IFERROR(J323/(E323+F323),0)</f>
        <v>0</v>
      </c>
      <c r="L323" s="6">
        <f>IFERROR(K323-SUMIFS($K$4:K323,$B$4:B323,B323,$C$4:C323,C323,$A$4:A323,EDATE(A323,-1)),K323)</f>
        <v>0</v>
      </c>
      <c r="M323" s="6">
        <f>IFERROR((I323+SUMIFS($G$4:G323,$B$4:B323,B323,$C$4:C323,C323,$A$4:A323,"&lt;="&amp;A323)+SUMIFS($H$4:H323,$B$4:B323,B323,$C$4:C323,C323,$A$4:A323,"&lt;="&amp;A323)-SUMIFS($F$4:F323,$B$4:B323,B323,$C$4:C323,C323,$A$4:A323,"&lt;="&amp;A323))/SUMIFS($F$4:F323,$B$4:B323,B323,$C$4:C323,C323,$A$4:A323,"&lt;="&amp;A323),0)</f>
        <v>0</v>
      </c>
      <c r="N323" s="8"/>
    </row>
    <row r="324" spans="1:14">
      <c r="A324" s="13">
        <v>46966</v>
      </c>
      <c r="B324" t="s">
        <v>41</v>
      </c>
      <c r="C324" t="s">
        <v>19</v>
      </c>
      <c r="D324" t="s">
        <v>42</v>
      </c>
      <c r="E324" s="7"/>
      <c r="F324" s="7"/>
      <c r="G324" s="7"/>
      <c r="H324" s="7"/>
      <c r="I324" s="7"/>
      <c r="J324" s="4">
        <f>IFERROR(I324-E324-F324+G324+H324,0)</f>
        <v>0</v>
      </c>
      <c r="K324" s="6">
        <f>IFERROR(J324/(E324+F324),0)</f>
        <v>0</v>
      </c>
      <c r="L324" s="6">
        <f>IFERROR(K324-SUMIFS($K$4:K324,$B$4:B324,B324,$C$4:C324,C324,$A$4:A324,EDATE(A324,-1)),K324)</f>
        <v>0</v>
      </c>
      <c r="M324" s="6">
        <f>IFERROR((I324+SUMIFS($G$4:G324,$B$4:B324,B324,$C$4:C324,C324,$A$4:A324,"&lt;="&amp;A324)+SUMIFS($H$4:H324,$B$4:B324,B324,$C$4:C324,C324,$A$4:A324,"&lt;="&amp;A324)-SUMIFS($F$4:F324,$B$4:B324,B324,$C$4:C324,C324,$A$4:A324,"&lt;="&amp;A324))/SUMIFS($F$4:F324,$B$4:B324,B324,$C$4:C324,C324,$A$4:A324,"&lt;="&amp;A324),0)</f>
        <v>0</v>
      </c>
      <c r="N324" s="8"/>
    </row>
    <row r="325" spans="1:14">
      <c r="A325" s="13">
        <v>46966</v>
      </c>
      <c r="B325" t="s">
        <v>41</v>
      </c>
      <c r="C325" t="s">
        <v>23</v>
      </c>
      <c r="D325" t="s">
        <v>43</v>
      </c>
      <c r="E325" s="7"/>
      <c r="F325" s="7"/>
      <c r="G325" s="7"/>
      <c r="H325" s="7"/>
      <c r="I325" s="7"/>
      <c r="J325" s="4">
        <f>IFERROR(I325-E325-F325+G325+H325,0)</f>
        <v>0</v>
      </c>
      <c r="K325" s="6">
        <f>IFERROR(J325/(E325+F325),0)</f>
        <v>0</v>
      </c>
      <c r="L325" s="6">
        <f>IFERROR(K325-SUMIFS($K$4:K325,$B$4:B325,B325,$C$4:C325,C325,$A$4:A325,EDATE(A325,-1)),K325)</f>
        <v>0</v>
      </c>
      <c r="M325" s="6">
        <f>IFERROR((I325+SUMIFS($G$4:G325,$B$4:B325,B325,$C$4:C325,C325,$A$4:A325,"&lt;="&amp;A325)+SUMIFS($H$4:H325,$B$4:B325,B325,$C$4:C325,C325,$A$4:A325,"&lt;="&amp;A325)-SUMIFS($F$4:F325,$B$4:B325,B325,$C$4:C325,C325,$A$4:A325,"&lt;="&amp;A325))/SUMIFS($F$4:F325,$B$4:B325,B325,$C$4:C325,C325,$A$4:A325,"&lt;="&amp;A325),0)</f>
        <v>0</v>
      </c>
      <c r="N325" s="8"/>
    </row>
    <row r="326" spans="1:14">
      <c r="A326" s="13">
        <v>46997</v>
      </c>
      <c r="B326" t="s">
        <v>18</v>
      </c>
      <c r="C326" t="s">
        <v>19</v>
      </c>
      <c r="D326" t="s">
        <v>21</v>
      </c>
      <c r="E326" s="7"/>
      <c r="F326" s="7"/>
      <c r="G326" s="7"/>
      <c r="H326" s="7"/>
      <c r="I326" s="7"/>
      <c r="J326" s="4">
        <f>IFERROR(I326-E326-F326+G326+H326,0)</f>
        <v>0</v>
      </c>
      <c r="K326" s="6">
        <f>IFERROR(J326/(E326+F326),0)</f>
        <v>0</v>
      </c>
      <c r="L326" s="6">
        <f>IFERROR(K326-SUMIFS($K$4:K326,$B$4:B326,B326,$C$4:C326,C326,$A$4:A326,EDATE(A326,-1)),K326)</f>
        <v>0</v>
      </c>
      <c r="M326" s="6">
        <f>IFERROR((I326+SUMIFS($G$4:G326,$B$4:B326,B326,$C$4:C326,C326,$A$4:A326,"&lt;="&amp;A326)+SUMIFS($H$4:H326,$B$4:B326,B326,$C$4:C326,C326,$A$4:A326,"&lt;="&amp;A326)-SUMIFS($F$4:F326,$B$4:B326,B326,$C$4:C326,C326,$A$4:A326,"&lt;="&amp;A326))/SUMIFS($F$4:F326,$B$4:B326,B326,$C$4:C326,C326,$A$4:A326,"&lt;="&amp;A326),0)</f>
        <v>0</v>
      </c>
      <c r="N326" s="8"/>
    </row>
    <row r="327" spans="1:14">
      <c r="A327" s="13">
        <v>46997</v>
      </c>
      <c r="B327" t="s">
        <v>18</v>
      </c>
      <c r="C327" t="s">
        <v>23</v>
      </c>
      <c r="D327" t="s">
        <v>24</v>
      </c>
      <c r="E327" s="7"/>
      <c r="F327" s="7"/>
      <c r="G327" s="7"/>
      <c r="H327" s="7"/>
      <c r="I327" s="7"/>
      <c r="J327" s="4">
        <f>IFERROR(I327-E327-F327+G327+H327,0)</f>
        <v>0</v>
      </c>
      <c r="K327" s="6">
        <f>IFERROR(J327/(E327+F327),0)</f>
        <v>0</v>
      </c>
      <c r="L327" s="6">
        <f>IFERROR(K327-SUMIFS($K$4:K327,$B$4:B327,B327,$C$4:C327,C327,$A$4:A327,EDATE(A327,-1)),K327)</f>
        <v>0</v>
      </c>
      <c r="M327" s="6">
        <f>IFERROR((I327+SUMIFS($G$4:G327,$B$4:B327,B327,$C$4:C327,C327,$A$4:A327,"&lt;="&amp;A327)+SUMIFS($H$4:H327,$B$4:B327,B327,$C$4:C327,C327,$A$4:A327,"&lt;="&amp;A327)-SUMIFS($F$4:F327,$B$4:B327,B327,$C$4:C327,C327,$A$4:A327,"&lt;="&amp;A327))/SUMIFS($F$4:F327,$B$4:B327,B327,$C$4:C327,C327,$A$4:A327,"&lt;="&amp;A327),0)</f>
        <v>0</v>
      </c>
      <c r="N327" s="8"/>
    </row>
    <row r="328" spans="1:14">
      <c r="A328" s="13">
        <v>46997</v>
      </c>
      <c r="B328" t="s">
        <v>26</v>
      </c>
      <c r="C328" t="s">
        <v>19</v>
      </c>
      <c r="D328" t="s">
        <v>27</v>
      </c>
      <c r="E328" s="7"/>
      <c r="F328" s="7"/>
      <c r="G328" s="7"/>
      <c r="H328" s="7"/>
      <c r="I328" s="7"/>
      <c r="J328" s="4">
        <f>IFERROR(I328-E328-F328+G328+H328,0)</f>
        <v>0</v>
      </c>
      <c r="K328" s="6">
        <f>IFERROR(J328/(E328+F328),0)</f>
        <v>0</v>
      </c>
      <c r="L328" s="6">
        <f>IFERROR(K328-SUMIFS($K$4:K328,$B$4:B328,B328,$C$4:C328,C328,$A$4:A328,EDATE(A328,-1)),K328)</f>
        <v>0</v>
      </c>
      <c r="M328" s="6">
        <f>IFERROR((I328+SUMIFS($G$4:G328,$B$4:B328,B328,$C$4:C328,C328,$A$4:A328,"&lt;="&amp;A328)+SUMIFS($H$4:H328,$B$4:B328,B328,$C$4:C328,C328,$A$4:A328,"&lt;="&amp;A328)-SUMIFS($F$4:F328,$B$4:B328,B328,$C$4:C328,C328,$A$4:A328,"&lt;="&amp;A328))/SUMIFS($F$4:F328,$B$4:B328,B328,$C$4:C328,C328,$A$4:A328,"&lt;="&amp;A328),0)</f>
        <v>0</v>
      </c>
      <c r="N328" s="8"/>
    </row>
    <row r="329" spans="1:14">
      <c r="A329" s="13">
        <v>46997</v>
      </c>
      <c r="B329" t="s">
        <v>26</v>
      </c>
      <c r="C329" t="s">
        <v>23</v>
      </c>
      <c r="D329" t="s">
        <v>28</v>
      </c>
      <c r="E329" s="7"/>
      <c r="F329" s="7"/>
      <c r="G329" s="7"/>
      <c r="H329" s="7"/>
      <c r="I329" s="7"/>
      <c r="J329" s="4">
        <f>IFERROR(I329-E329-F329+G329+H329,0)</f>
        <v>0</v>
      </c>
      <c r="K329" s="6">
        <f>IFERROR(J329/(E329+F329),0)</f>
        <v>0</v>
      </c>
      <c r="L329" s="6">
        <f>IFERROR(K329-SUMIFS($K$4:K329,$B$4:B329,B329,$C$4:C329,C329,$A$4:A329,EDATE(A329,-1)),K329)</f>
        <v>0</v>
      </c>
      <c r="M329" s="6">
        <f>IFERROR((I329+SUMIFS($G$4:G329,$B$4:B329,B329,$C$4:C329,C329,$A$4:A329,"&lt;="&amp;A329)+SUMIFS($H$4:H329,$B$4:B329,B329,$C$4:C329,C329,$A$4:A329,"&lt;="&amp;A329)-SUMIFS($F$4:F329,$B$4:B329,B329,$C$4:C329,C329,$A$4:A329,"&lt;="&amp;A329))/SUMIFS($F$4:F329,$B$4:B329,B329,$C$4:C329,C329,$A$4:A329,"&lt;="&amp;A329),0)</f>
        <v>0</v>
      </c>
      <c r="N329" s="8"/>
    </row>
    <row r="330" spans="1:14">
      <c r="A330" s="13">
        <v>46997</v>
      </c>
      <c r="B330" t="s">
        <v>29</v>
      </c>
      <c r="C330" t="s">
        <v>19</v>
      </c>
      <c r="D330" t="s">
        <v>30</v>
      </c>
      <c r="E330" s="7"/>
      <c r="F330" s="7"/>
      <c r="G330" s="7"/>
      <c r="H330" s="7"/>
      <c r="I330" s="7"/>
      <c r="J330" s="4">
        <f>IFERROR(I330-E330-F330+G330+H330,0)</f>
        <v>0</v>
      </c>
      <c r="K330" s="6">
        <f>IFERROR(J330/(E330+F330),0)</f>
        <v>0</v>
      </c>
      <c r="L330" s="6">
        <f>IFERROR(K330-SUMIFS($K$4:K330,$B$4:B330,B330,$C$4:C330,C330,$A$4:A330,EDATE(A330,-1)),K330)</f>
        <v>0</v>
      </c>
      <c r="M330" s="6">
        <f>IFERROR((I330+SUMIFS($G$4:G330,$B$4:B330,B330,$C$4:C330,C330,$A$4:A330,"&lt;="&amp;A330)+SUMIFS($H$4:H330,$B$4:B330,B330,$C$4:C330,C330,$A$4:A330,"&lt;="&amp;A330)-SUMIFS($F$4:F330,$B$4:B330,B330,$C$4:C330,C330,$A$4:A330,"&lt;="&amp;A330))/SUMIFS($F$4:F330,$B$4:B330,B330,$C$4:C330,C330,$A$4:A330,"&lt;="&amp;A330),0)</f>
        <v>0</v>
      </c>
      <c r="N330" s="8"/>
    </row>
    <row r="331" spans="1:14">
      <c r="A331" s="13">
        <v>46997</v>
      </c>
      <c r="B331" t="s">
        <v>29</v>
      </c>
      <c r="C331" t="s">
        <v>23</v>
      </c>
      <c r="D331" t="s">
        <v>31</v>
      </c>
      <c r="E331" s="7"/>
      <c r="F331" s="7"/>
      <c r="G331" s="7"/>
      <c r="H331" s="7"/>
      <c r="I331" s="7"/>
      <c r="J331" s="4">
        <f>IFERROR(I331-E331-F331+G331+H331,0)</f>
        <v>0</v>
      </c>
      <c r="K331" s="6">
        <f>IFERROR(J331/(E331+F331),0)</f>
        <v>0</v>
      </c>
      <c r="L331" s="6">
        <f>IFERROR(K331-SUMIFS($K$4:K331,$B$4:B331,B331,$C$4:C331,C331,$A$4:A331,EDATE(A331,-1)),K331)</f>
        <v>0</v>
      </c>
      <c r="M331" s="6">
        <f>IFERROR((I331+SUMIFS($G$4:G331,$B$4:B331,B331,$C$4:C331,C331,$A$4:A331,"&lt;="&amp;A331)+SUMIFS($H$4:H331,$B$4:B331,B331,$C$4:C331,C331,$A$4:A331,"&lt;="&amp;A331)-SUMIFS($F$4:F331,$B$4:B331,B331,$C$4:C331,C331,$A$4:A331,"&lt;="&amp;A331))/SUMIFS($F$4:F331,$B$4:B331,B331,$C$4:C331,C331,$A$4:A331,"&lt;="&amp;A331),0)</f>
        <v>0</v>
      </c>
      <c r="N331" s="8"/>
    </row>
    <row r="332" spans="1:14">
      <c r="A332" s="13">
        <v>46997</v>
      </c>
      <c r="B332" t="s">
        <v>32</v>
      </c>
      <c r="C332" t="s">
        <v>19</v>
      </c>
      <c r="D332" t="s">
        <v>33</v>
      </c>
      <c r="E332" s="7"/>
      <c r="F332" s="7"/>
      <c r="G332" s="7"/>
      <c r="H332" s="7"/>
      <c r="I332" s="7"/>
      <c r="J332" s="4">
        <f>IFERROR(I332-E332-F332+G332+H332,0)</f>
        <v>0</v>
      </c>
      <c r="K332" s="6">
        <f>IFERROR(J332/(E332+F332),0)</f>
        <v>0</v>
      </c>
      <c r="L332" s="6">
        <f>IFERROR(K332-SUMIFS($K$4:K332,$B$4:B332,B332,$C$4:C332,C332,$A$4:A332,EDATE(A332,-1)),K332)</f>
        <v>0</v>
      </c>
      <c r="M332" s="6">
        <f>IFERROR((I332+SUMIFS($G$4:G332,$B$4:B332,B332,$C$4:C332,C332,$A$4:A332,"&lt;="&amp;A332)+SUMIFS($H$4:H332,$B$4:B332,B332,$C$4:C332,C332,$A$4:A332,"&lt;="&amp;A332)-SUMIFS($F$4:F332,$B$4:B332,B332,$C$4:C332,C332,$A$4:A332,"&lt;="&amp;A332))/SUMIFS($F$4:F332,$B$4:B332,B332,$C$4:C332,C332,$A$4:A332,"&lt;="&amp;A332),0)</f>
        <v>0</v>
      </c>
      <c r="N332" s="8"/>
    </row>
    <row r="333" spans="1:14">
      <c r="A333" s="13">
        <v>46997</v>
      </c>
      <c r="B333" t="s">
        <v>32</v>
      </c>
      <c r="C333" t="s">
        <v>23</v>
      </c>
      <c r="D333" t="s">
        <v>34</v>
      </c>
      <c r="E333" s="7"/>
      <c r="F333" s="7"/>
      <c r="G333" s="7"/>
      <c r="H333" s="7"/>
      <c r="I333" s="7"/>
      <c r="J333" s="4">
        <f>IFERROR(I333-E333-F333+G333+H333,0)</f>
        <v>0</v>
      </c>
      <c r="K333" s="6">
        <f>IFERROR(J333/(E333+F333),0)</f>
        <v>0</v>
      </c>
      <c r="L333" s="6">
        <f>IFERROR(K333-SUMIFS($K$4:K333,$B$4:B333,B333,$C$4:C333,C333,$A$4:A333,EDATE(A333,-1)),K333)</f>
        <v>0</v>
      </c>
      <c r="M333" s="6">
        <f>IFERROR((I333+SUMIFS($G$4:G333,$B$4:B333,B333,$C$4:C333,C333,$A$4:A333,"&lt;="&amp;A333)+SUMIFS($H$4:H333,$B$4:B333,B333,$C$4:C333,C333,$A$4:A333,"&lt;="&amp;A333)-SUMIFS($F$4:F333,$B$4:B333,B333,$C$4:C333,C333,$A$4:A333,"&lt;="&amp;A333))/SUMIFS($F$4:F333,$B$4:B333,B333,$C$4:C333,C333,$A$4:A333,"&lt;="&amp;A333),0)</f>
        <v>0</v>
      </c>
      <c r="N333" s="8"/>
    </row>
    <row r="334" spans="1:14">
      <c r="A334" s="13">
        <v>46997</v>
      </c>
      <c r="B334" t="s">
        <v>35</v>
      </c>
      <c r="C334" t="s">
        <v>19</v>
      </c>
      <c r="D334" t="s">
        <v>36</v>
      </c>
      <c r="E334" s="7"/>
      <c r="F334" s="7"/>
      <c r="G334" s="7"/>
      <c r="H334" s="7"/>
      <c r="I334" s="7"/>
      <c r="J334" s="4">
        <f>IFERROR(I334-E334-F334+G334+H334,0)</f>
        <v>0</v>
      </c>
      <c r="K334" s="6">
        <f>IFERROR(J334/(E334+F334),0)</f>
        <v>0</v>
      </c>
      <c r="L334" s="6">
        <f>IFERROR(K334-SUMIFS($K$4:K334,$B$4:B334,B334,$C$4:C334,C334,$A$4:A334,EDATE(A334,-1)),K334)</f>
        <v>0</v>
      </c>
      <c r="M334" s="6">
        <f>IFERROR((I334+SUMIFS($G$4:G334,$B$4:B334,B334,$C$4:C334,C334,$A$4:A334,"&lt;="&amp;A334)+SUMIFS($H$4:H334,$B$4:B334,B334,$C$4:C334,C334,$A$4:A334,"&lt;="&amp;A334)-SUMIFS($F$4:F334,$B$4:B334,B334,$C$4:C334,C334,$A$4:A334,"&lt;="&amp;A334))/SUMIFS($F$4:F334,$B$4:B334,B334,$C$4:C334,C334,$A$4:A334,"&lt;="&amp;A334),0)</f>
        <v>0</v>
      </c>
      <c r="N334" s="8"/>
    </row>
    <row r="335" spans="1:14">
      <c r="A335" s="13">
        <v>46997</v>
      </c>
      <c r="B335" t="s">
        <v>35</v>
      </c>
      <c r="C335" t="s">
        <v>23</v>
      </c>
      <c r="D335" t="s">
        <v>37</v>
      </c>
      <c r="E335" s="7"/>
      <c r="F335" s="7"/>
      <c r="G335" s="7"/>
      <c r="H335" s="7"/>
      <c r="I335" s="7"/>
      <c r="J335" s="4">
        <f>IFERROR(I335-E335-F335+G335+H335,0)</f>
        <v>0</v>
      </c>
      <c r="K335" s="6">
        <f>IFERROR(J335/(E335+F335),0)</f>
        <v>0</v>
      </c>
      <c r="L335" s="6">
        <f>IFERROR(K335-SUMIFS($K$4:K335,$B$4:B335,B335,$C$4:C335,C335,$A$4:A335,EDATE(A335,-1)),K335)</f>
        <v>0</v>
      </c>
      <c r="M335" s="6">
        <f>IFERROR((I335+SUMIFS($G$4:G335,$B$4:B335,B335,$C$4:C335,C335,$A$4:A335,"&lt;="&amp;A335)+SUMIFS($H$4:H335,$B$4:B335,B335,$C$4:C335,C335,$A$4:A335,"&lt;="&amp;A335)-SUMIFS($F$4:F335,$B$4:B335,B335,$C$4:C335,C335,$A$4:A335,"&lt;="&amp;A335))/SUMIFS($F$4:F335,$B$4:B335,B335,$C$4:C335,C335,$A$4:A335,"&lt;="&amp;A335),0)</f>
        <v>0</v>
      </c>
      <c r="N335" s="8"/>
    </row>
    <row r="336" spans="1:14">
      <c r="A336" s="13">
        <v>46997</v>
      </c>
      <c r="B336" t="s">
        <v>38</v>
      </c>
      <c r="C336" t="s">
        <v>19</v>
      </c>
      <c r="D336" t="s">
        <v>39</v>
      </c>
      <c r="E336" s="7"/>
      <c r="F336" s="7"/>
      <c r="G336" s="7"/>
      <c r="H336" s="7"/>
      <c r="I336" s="7"/>
      <c r="J336" s="4">
        <f>IFERROR(I336-E336-F336+G336+H336,0)</f>
        <v>0</v>
      </c>
      <c r="K336" s="6">
        <f>IFERROR(J336/(E336+F336),0)</f>
        <v>0</v>
      </c>
      <c r="L336" s="6">
        <f>IFERROR(K336-SUMIFS($K$4:K336,$B$4:B336,B336,$C$4:C336,C336,$A$4:A336,EDATE(A336,-1)),K336)</f>
        <v>0</v>
      </c>
      <c r="M336" s="6">
        <f>IFERROR((I336+SUMIFS($G$4:G336,$B$4:B336,B336,$C$4:C336,C336,$A$4:A336,"&lt;="&amp;A336)+SUMIFS($H$4:H336,$B$4:B336,B336,$C$4:C336,C336,$A$4:A336,"&lt;="&amp;A336)-SUMIFS($F$4:F336,$B$4:B336,B336,$C$4:C336,C336,$A$4:A336,"&lt;="&amp;A336))/SUMIFS($F$4:F336,$B$4:B336,B336,$C$4:C336,C336,$A$4:A336,"&lt;="&amp;A336),0)</f>
        <v>0</v>
      </c>
      <c r="N336" s="8"/>
    </row>
    <row r="337" spans="1:14">
      <c r="A337" s="13">
        <v>46997</v>
      </c>
      <c r="B337" t="s">
        <v>38</v>
      </c>
      <c r="C337" t="s">
        <v>23</v>
      </c>
      <c r="D337" t="s">
        <v>40</v>
      </c>
      <c r="E337" s="7"/>
      <c r="F337" s="7"/>
      <c r="G337" s="7"/>
      <c r="H337" s="7"/>
      <c r="I337" s="7"/>
      <c r="J337" s="4">
        <f>IFERROR(I337-E337-F337+G337+H337,0)</f>
        <v>0</v>
      </c>
      <c r="K337" s="6">
        <f>IFERROR(J337/(E337+F337),0)</f>
        <v>0</v>
      </c>
      <c r="L337" s="6">
        <f>IFERROR(K337-SUMIFS($K$4:K337,$B$4:B337,B337,$C$4:C337,C337,$A$4:A337,EDATE(A337,-1)),K337)</f>
        <v>0</v>
      </c>
      <c r="M337" s="6">
        <f>IFERROR((I337+SUMIFS($G$4:G337,$B$4:B337,B337,$C$4:C337,C337,$A$4:A337,"&lt;="&amp;A337)+SUMIFS($H$4:H337,$B$4:B337,B337,$C$4:C337,C337,$A$4:A337,"&lt;="&amp;A337)-SUMIFS($F$4:F337,$B$4:B337,B337,$C$4:C337,C337,$A$4:A337,"&lt;="&amp;A337))/SUMIFS($F$4:F337,$B$4:B337,B337,$C$4:C337,C337,$A$4:A337,"&lt;="&amp;A337),0)</f>
        <v>0</v>
      </c>
      <c r="N337" s="8"/>
    </row>
    <row r="338" spans="1:14">
      <c r="A338" s="13">
        <v>46997</v>
      </c>
      <c r="B338" t="s">
        <v>41</v>
      </c>
      <c r="C338" t="s">
        <v>19</v>
      </c>
      <c r="D338" t="s">
        <v>42</v>
      </c>
      <c r="E338" s="7"/>
      <c r="F338" s="7"/>
      <c r="G338" s="7"/>
      <c r="H338" s="7"/>
      <c r="I338" s="7"/>
      <c r="J338" s="4">
        <f>IFERROR(I338-E338-F338+G338+H338,0)</f>
        <v>0</v>
      </c>
      <c r="K338" s="6">
        <f>IFERROR(J338/(E338+F338),0)</f>
        <v>0</v>
      </c>
      <c r="L338" s="6">
        <f>IFERROR(K338-SUMIFS($K$4:K338,$B$4:B338,B338,$C$4:C338,C338,$A$4:A338,EDATE(A338,-1)),K338)</f>
        <v>0</v>
      </c>
      <c r="M338" s="6">
        <f>IFERROR((I338+SUMIFS($G$4:G338,$B$4:B338,B338,$C$4:C338,C338,$A$4:A338,"&lt;="&amp;A338)+SUMIFS($H$4:H338,$B$4:B338,B338,$C$4:C338,C338,$A$4:A338,"&lt;="&amp;A338)-SUMIFS($F$4:F338,$B$4:B338,B338,$C$4:C338,C338,$A$4:A338,"&lt;="&amp;A338))/SUMIFS($F$4:F338,$B$4:B338,B338,$C$4:C338,C338,$A$4:A338,"&lt;="&amp;A338),0)</f>
        <v>0</v>
      </c>
      <c r="N338" s="8"/>
    </row>
    <row r="339" spans="1:14">
      <c r="A339" s="13">
        <v>46997</v>
      </c>
      <c r="B339" t="s">
        <v>41</v>
      </c>
      <c r="C339" t="s">
        <v>23</v>
      </c>
      <c r="D339" t="s">
        <v>43</v>
      </c>
      <c r="E339" s="7"/>
      <c r="F339" s="7"/>
      <c r="G339" s="7"/>
      <c r="H339" s="7"/>
      <c r="I339" s="7"/>
      <c r="J339" s="4">
        <f>IFERROR(I339-E339-F339+G339+H339,0)</f>
        <v>0</v>
      </c>
      <c r="K339" s="6">
        <f>IFERROR(J339/(E339+F339),0)</f>
        <v>0</v>
      </c>
      <c r="L339" s="6">
        <f>IFERROR(K339-SUMIFS($K$4:K339,$B$4:B339,B339,$C$4:C339,C339,$A$4:A339,EDATE(A339,-1)),K339)</f>
        <v>0</v>
      </c>
      <c r="M339" s="6">
        <f>IFERROR((I339+SUMIFS($G$4:G339,$B$4:B339,B339,$C$4:C339,C339,$A$4:A339,"&lt;="&amp;A339)+SUMIFS($H$4:H339,$B$4:B339,B339,$C$4:C339,C339,$A$4:A339,"&lt;="&amp;A339)-SUMIFS($F$4:F339,$B$4:B339,B339,$C$4:C339,C339,$A$4:A339,"&lt;="&amp;A339))/SUMIFS($F$4:F339,$B$4:B339,B339,$C$4:C339,C339,$A$4:A339,"&lt;="&amp;A339),0)</f>
        <v>0</v>
      </c>
      <c r="N339" s="8"/>
    </row>
    <row r="340" spans="1:14">
      <c r="A340" s="13">
        <v>47027</v>
      </c>
      <c r="B340" t="s">
        <v>18</v>
      </c>
      <c r="C340" t="s">
        <v>19</v>
      </c>
      <c r="D340" t="s">
        <v>21</v>
      </c>
      <c r="E340" s="7"/>
      <c r="F340" s="7"/>
      <c r="G340" s="7"/>
      <c r="H340" s="7"/>
      <c r="I340" s="7"/>
      <c r="J340" s="4">
        <f>IFERROR(I340-E340-F340+G340+H340,0)</f>
        <v>0</v>
      </c>
      <c r="K340" s="6">
        <f>IFERROR(J340/(E340+F340),0)</f>
        <v>0</v>
      </c>
      <c r="L340" s="6">
        <f>IFERROR(K340-SUMIFS($K$4:K340,$B$4:B340,B340,$C$4:C340,C340,$A$4:A340,EDATE(A340,-1)),K340)</f>
        <v>0</v>
      </c>
      <c r="M340" s="6">
        <f>IFERROR((I340+SUMIFS($G$4:G340,$B$4:B340,B340,$C$4:C340,C340,$A$4:A340,"&lt;="&amp;A340)+SUMIFS($H$4:H340,$B$4:B340,B340,$C$4:C340,C340,$A$4:A340,"&lt;="&amp;A340)-SUMIFS($F$4:F340,$B$4:B340,B340,$C$4:C340,C340,$A$4:A340,"&lt;="&amp;A340))/SUMIFS($F$4:F340,$B$4:B340,B340,$C$4:C340,C340,$A$4:A340,"&lt;="&amp;A340),0)</f>
        <v>0</v>
      </c>
      <c r="N340" s="8"/>
    </row>
    <row r="341" spans="1:14">
      <c r="A341" s="13">
        <v>47027</v>
      </c>
      <c r="B341" t="s">
        <v>18</v>
      </c>
      <c r="C341" t="s">
        <v>23</v>
      </c>
      <c r="D341" t="s">
        <v>24</v>
      </c>
      <c r="E341" s="7"/>
      <c r="F341" s="7"/>
      <c r="G341" s="7"/>
      <c r="H341" s="7"/>
      <c r="I341" s="7"/>
      <c r="J341" s="4">
        <f>IFERROR(I341-E341-F341+G341+H341,0)</f>
        <v>0</v>
      </c>
      <c r="K341" s="6">
        <f>IFERROR(J341/(E341+F341),0)</f>
        <v>0</v>
      </c>
      <c r="L341" s="6">
        <f>IFERROR(K341-SUMIFS($K$4:K341,$B$4:B341,B341,$C$4:C341,C341,$A$4:A341,EDATE(A341,-1)),K341)</f>
        <v>0</v>
      </c>
      <c r="M341" s="6">
        <f>IFERROR((I341+SUMIFS($G$4:G341,$B$4:B341,B341,$C$4:C341,C341,$A$4:A341,"&lt;="&amp;A341)+SUMIFS($H$4:H341,$B$4:B341,B341,$C$4:C341,C341,$A$4:A341,"&lt;="&amp;A341)-SUMIFS($F$4:F341,$B$4:B341,B341,$C$4:C341,C341,$A$4:A341,"&lt;="&amp;A341))/SUMIFS($F$4:F341,$B$4:B341,B341,$C$4:C341,C341,$A$4:A341,"&lt;="&amp;A341),0)</f>
        <v>0</v>
      </c>
      <c r="N341" s="8"/>
    </row>
    <row r="342" spans="1:14">
      <c r="A342" s="13">
        <v>47027</v>
      </c>
      <c r="B342" t="s">
        <v>26</v>
      </c>
      <c r="C342" t="s">
        <v>19</v>
      </c>
      <c r="D342" t="s">
        <v>27</v>
      </c>
      <c r="E342" s="7"/>
      <c r="F342" s="7"/>
      <c r="G342" s="7"/>
      <c r="H342" s="7"/>
      <c r="I342" s="7"/>
      <c r="J342" s="4">
        <f>IFERROR(I342-E342-F342+G342+H342,0)</f>
        <v>0</v>
      </c>
      <c r="K342" s="6">
        <f>IFERROR(J342/(E342+F342),0)</f>
        <v>0</v>
      </c>
      <c r="L342" s="6">
        <f>IFERROR(K342-SUMIFS($K$4:K342,$B$4:B342,B342,$C$4:C342,C342,$A$4:A342,EDATE(A342,-1)),K342)</f>
        <v>0</v>
      </c>
      <c r="M342" s="6">
        <f>IFERROR((I342+SUMIFS($G$4:G342,$B$4:B342,B342,$C$4:C342,C342,$A$4:A342,"&lt;="&amp;A342)+SUMIFS($H$4:H342,$B$4:B342,B342,$C$4:C342,C342,$A$4:A342,"&lt;="&amp;A342)-SUMIFS($F$4:F342,$B$4:B342,B342,$C$4:C342,C342,$A$4:A342,"&lt;="&amp;A342))/SUMIFS($F$4:F342,$B$4:B342,B342,$C$4:C342,C342,$A$4:A342,"&lt;="&amp;A342),0)</f>
        <v>0</v>
      </c>
      <c r="N342" s="8"/>
    </row>
    <row r="343" spans="1:14">
      <c r="A343" s="13">
        <v>47027</v>
      </c>
      <c r="B343" t="s">
        <v>26</v>
      </c>
      <c r="C343" t="s">
        <v>23</v>
      </c>
      <c r="D343" t="s">
        <v>28</v>
      </c>
      <c r="E343" s="7"/>
      <c r="F343" s="7"/>
      <c r="G343" s="7"/>
      <c r="H343" s="7"/>
      <c r="I343" s="7"/>
      <c r="J343" s="4">
        <f>IFERROR(I343-E343-F343+G343+H343,0)</f>
        <v>0</v>
      </c>
      <c r="K343" s="6">
        <f>IFERROR(J343/(E343+F343),0)</f>
        <v>0</v>
      </c>
      <c r="L343" s="6">
        <f>IFERROR(K343-SUMIFS($K$4:K343,$B$4:B343,B343,$C$4:C343,C343,$A$4:A343,EDATE(A343,-1)),K343)</f>
        <v>0</v>
      </c>
      <c r="M343" s="6">
        <f>IFERROR((I343+SUMIFS($G$4:G343,$B$4:B343,B343,$C$4:C343,C343,$A$4:A343,"&lt;="&amp;A343)+SUMIFS($H$4:H343,$B$4:B343,B343,$C$4:C343,C343,$A$4:A343,"&lt;="&amp;A343)-SUMIFS($F$4:F343,$B$4:B343,B343,$C$4:C343,C343,$A$4:A343,"&lt;="&amp;A343))/SUMIFS($F$4:F343,$B$4:B343,B343,$C$4:C343,C343,$A$4:A343,"&lt;="&amp;A343),0)</f>
        <v>0</v>
      </c>
      <c r="N343" s="8"/>
    </row>
    <row r="344" spans="1:14">
      <c r="A344" s="13">
        <v>47027</v>
      </c>
      <c r="B344" t="s">
        <v>29</v>
      </c>
      <c r="C344" t="s">
        <v>19</v>
      </c>
      <c r="D344" t="s">
        <v>30</v>
      </c>
      <c r="E344" s="7"/>
      <c r="F344" s="7"/>
      <c r="G344" s="7"/>
      <c r="H344" s="7"/>
      <c r="I344" s="7"/>
      <c r="J344" s="4">
        <f>IFERROR(I344-E344-F344+G344+H344,0)</f>
        <v>0</v>
      </c>
      <c r="K344" s="6">
        <f>IFERROR(J344/(E344+F344),0)</f>
        <v>0</v>
      </c>
      <c r="L344" s="6">
        <f>IFERROR(K344-SUMIFS($K$4:K344,$B$4:B344,B344,$C$4:C344,C344,$A$4:A344,EDATE(A344,-1)),K344)</f>
        <v>0</v>
      </c>
      <c r="M344" s="6">
        <f>IFERROR((I344+SUMIFS($G$4:G344,$B$4:B344,B344,$C$4:C344,C344,$A$4:A344,"&lt;="&amp;A344)+SUMIFS($H$4:H344,$B$4:B344,B344,$C$4:C344,C344,$A$4:A344,"&lt;="&amp;A344)-SUMIFS($F$4:F344,$B$4:B344,B344,$C$4:C344,C344,$A$4:A344,"&lt;="&amp;A344))/SUMIFS($F$4:F344,$B$4:B344,B344,$C$4:C344,C344,$A$4:A344,"&lt;="&amp;A344),0)</f>
        <v>0</v>
      </c>
      <c r="N344" s="8"/>
    </row>
    <row r="345" spans="1:14">
      <c r="A345" s="13">
        <v>47027</v>
      </c>
      <c r="B345" t="s">
        <v>29</v>
      </c>
      <c r="C345" t="s">
        <v>23</v>
      </c>
      <c r="D345" t="s">
        <v>31</v>
      </c>
      <c r="E345" s="7"/>
      <c r="F345" s="7"/>
      <c r="G345" s="7"/>
      <c r="H345" s="7"/>
      <c r="I345" s="7"/>
      <c r="J345" s="4">
        <f>IFERROR(I345-E345-F345+G345+H345,0)</f>
        <v>0</v>
      </c>
      <c r="K345" s="6">
        <f>IFERROR(J345/(E345+F345),0)</f>
        <v>0</v>
      </c>
      <c r="L345" s="6">
        <f>IFERROR(K345-SUMIFS($K$4:K345,$B$4:B345,B345,$C$4:C345,C345,$A$4:A345,EDATE(A345,-1)),K345)</f>
        <v>0</v>
      </c>
      <c r="M345" s="6">
        <f>IFERROR((I345+SUMIFS($G$4:G345,$B$4:B345,B345,$C$4:C345,C345,$A$4:A345,"&lt;="&amp;A345)+SUMIFS($H$4:H345,$B$4:B345,B345,$C$4:C345,C345,$A$4:A345,"&lt;="&amp;A345)-SUMIFS($F$4:F345,$B$4:B345,B345,$C$4:C345,C345,$A$4:A345,"&lt;="&amp;A345))/SUMIFS($F$4:F345,$B$4:B345,B345,$C$4:C345,C345,$A$4:A345,"&lt;="&amp;A345),0)</f>
        <v>0</v>
      </c>
      <c r="N345" s="8"/>
    </row>
    <row r="346" spans="1:14">
      <c r="A346" s="13">
        <v>47027</v>
      </c>
      <c r="B346" t="s">
        <v>32</v>
      </c>
      <c r="C346" t="s">
        <v>19</v>
      </c>
      <c r="D346" t="s">
        <v>33</v>
      </c>
      <c r="E346" s="7"/>
      <c r="F346" s="7"/>
      <c r="G346" s="7"/>
      <c r="H346" s="7"/>
      <c r="I346" s="7"/>
      <c r="J346" s="4">
        <f>IFERROR(I346-E346-F346+G346+H346,0)</f>
        <v>0</v>
      </c>
      <c r="K346" s="6">
        <f>IFERROR(J346/(E346+F346),0)</f>
        <v>0</v>
      </c>
      <c r="L346" s="6">
        <f>IFERROR(K346-SUMIFS($K$4:K346,$B$4:B346,B346,$C$4:C346,C346,$A$4:A346,EDATE(A346,-1)),K346)</f>
        <v>0</v>
      </c>
      <c r="M346" s="6">
        <f>IFERROR((I346+SUMIFS($G$4:G346,$B$4:B346,B346,$C$4:C346,C346,$A$4:A346,"&lt;="&amp;A346)+SUMIFS($H$4:H346,$B$4:B346,B346,$C$4:C346,C346,$A$4:A346,"&lt;="&amp;A346)-SUMIFS($F$4:F346,$B$4:B346,B346,$C$4:C346,C346,$A$4:A346,"&lt;="&amp;A346))/SUMIFS($F$4:F346,$B$4:B346,B346,$C$4:C346,C346,$A$4:A346,"&lt;="&amp;A346),0)</f>
        <v>0</v>
      </c>
      <c r="N346" s="8"/>
    </row>
    <row r="347" spans="1:14">
      <c r="A347" s="13">
        <v>47027</v>
      </c>
      <c r="B347" t="s">
        <v>32</v>
      </c>
      <c r="C347" t="s">
        <v>23</v>
      </c>
      <c r="D347" t="s">
        <v>34</v>
      </c>
      <c r="E347" s="7"/>
      <c r="F347" s="7"/>
      <c r="G347" s="7"/>
      <c r="H347" s="7"/>
      <c r="I347" s="7"/>
      <c r="J347" s="4">
        <f>IFERROR(I347-E347-F347+G347+H347,0)</f>
        <v>0</v>
      </c>
      <c r="K347" s="6">
        <f>IFERROR(J347/(E347+F347),0)</f>
        <v>0</v>
      </c>
      <c r="L347" s="6">
        <f>IFERROR(K347-SUMIFS($K$4:K347,$B$4:B347,B347,$C$4:C347,C347,$A$4:A347,EDATE(A347,-1)),K347)</f>
        <v>0</v>
      </c>
      <c r="M347" s="6">
        <f>IFERROR((I347+SUMIFS($G$4:G347,$B$4:B347,B347,$C$4:C347,C347,$A$4:A347,"&lt;="&amp;A347)+SUMIFS($H$4:H347,$B$4:B347,B347,$C$4:C347,C347,$A$4:A347,"&lt;="&amp;A347)-SUMIFS($F$4:F347,$B$4:B347,B347,$C$4:C347,C347,$A$4:A347,"&lt;="&amp;A347))/SUMIFS($F$4:F347,$B$4:B347,B347,$C$4:C347,C347,$A$4:A347,"&lt;="&amp;A347),0)</f>
        <v>0</v>
      </c>
      <c r="N347" s="8"/>
    </row>
    <row r="348" spans="1:14">
      <c r="A348" s="13">
        <v>47027</v>
      </c>
      <c r="B348" t="s">
        <v>35</v>
      </c>
      <c r="C348" t="s">
        <v>19</v>
      </c>
      <c r="D348" t="s">
        <v>36</v>
      </c>
      <c r="E348" s="7"/>
      <c r="F348" s="7"/>
      <c r="G348" s="7"/>
      <c r="H348" s="7"/>
      <c r="I348" s="7"/>
      <c r="J348" s="4">
        <f>IFERROR(I348-E348-F348+G348+H348,0)</f>
        <v>0</v>
      </c>
      <c r="K348" s="6">
        <f>IFERROR(J348/(E348+F348),0)</f>
        <v>0</v>
      </c>
      <c r="L348" s="6">
        <f>IFERROR(K348-SUMIFS($K$4:K348,$B$4:B348,B348,$C$4:C348,C348,$A$4:A348,EDATE(A348,-1)),K348)</f>
        <v>0</v>
      </c>
      <c r="M348" s="6">
        <f>IFERROR((I348+SUMIFS($G$4:G348,$B$4:B348,B348,$C$4:C348,C348,$A$4:A348,"&lt;="&amp;A348)+SUMIFS($H$4:H348,$B$4:B348,B348,$C$4:C348,C348,$A$4:A348,"&lt;="&amp;A348)-SUMIFS($F$4:F348,$B$4:B348,B348,$C$4:C348,C348,$A$4:A348,"&lt;="&amp;A348))/SUMIFS($F$4:F348,$B$4:B348,B348,$C$4:C348,C348,$A$4:A348,"&lt;="&amp;A348),0)</f>
        <v>0</v>
      </c>
      <c r="N348" s="8"/>
    </row>
    <row r="349" spans="1:14">
      <c r="A349" s="13">
        <v>47027</v>
      </c>
      <c r="B349" t="s">
        <v>35</v>
      </c>
      <c r="C349" t="s">
        <v>23</v>
      </c>
      <c r="D349" t="s">
        <v>37</v>
      </c>
      <c r="E349" s="7"/>
      <c r="F349" s="7"/>
      <c r="G349" s="7"/>
      <c r="H349" s="7"/>
      <c r="I349" s="7"/>
      <c r="J349" s="4">
        <f>IFERROR(I349-E349-F349+G349+H349,0)</f>
        <v>0</v>
      </c>
      <c r="K349" s="6">
        <f>IFERROR(J349/(E349+F349),0)</f>
        <v>0</v>
      </c>
      <c r="L349" s="6">
        <f>IFERROR(K349-SUMIFS($K$4:K349,$B$4:B349,B349,$C$4:C349,C349,$A$4:A349,EDATE(A349,-1)),K349)</f>
        <v>0</v>
      </c>
      <c r="M349" s="6">
        <f>IFERROR((I349+SUMIFS($G$4:G349,$B$4:B349,B349,$C$4:C349,C349,$A$4:A349,"&lt;="&amp;A349)+SUMIFS($H$4:H349,$B$4:B349,B349,$C$4:C349,C349,$A$4:A349,"&lt;="&amp;A349)-SUMIFS($F$4:F349,$B$4:B349,B349,$C$4:C349,C349,$A$4:A349,"&lt;="&amp;A349))/SUMIFS($F$4:F349,$B$4:B349,B349,$C$4:C349,C349,$A$4:A349,"&lt;="&amp;A349),0)</f>
        <v>0</v>
      </c>
      <c r="N349" s="8"/>
    </row>
    <row r="350" spans="1:14">
      <c r="A350" s="13">
        <v>47027</v>
      </c>
      <c r="B350" t="s">
        <v>38</v>
      </c>
      <c r="C350" t="s">
        <v>19</v>
      </c>
      <c r="D350" t="s">
        <v>39</v>
      </c>
      <c r="E350" s="7"/>
      <c r="F350" s="7"/>
      <c r="G350" s="7"/>
      <c r="H350" s="7"/>
      <c r="I350" s="7"/>
      <c r="J350" s="4">
        <f>IFERROR(I350-E350-F350+G350+H350,0)</f>
        <v>0</v>
      </c>
      <c r="K350" s="6">
        <f>IFERROR(J350/(E350+F350),0)</f>
        <v>0</v>
      </c>
      <c r="L350" s="6">
        <f>IFERROR(K350-SUMIFS($K$4:K350,$B$4:B350,B350,$C$4:C350,C350,$A$4:A350,EDATE(A350,-1)),K350)</f>
        <v>0</v>
      </c>
      <c r="M350" s="6">
        <f>IFERROR((I350+SUMIFS($G$4:G350,$B$4:B350,B350,$C$4:C350,C350,$A$4:A350,"&lt;="&amp;A350)+SUMIFS($H$4:H350,$B$4:B350,B350,$C$4:C350,C350,$A$4:A350,"&lt;="&amp;A350)-SUMIFS($F$4:F350,$B$4:B350,B350,$C$4:C350,C350,$A$4:A350,"&lt;="&amp;A350))/SUMIFS($F$4:F350,$B$4:B350,B350,$C$4:C350,C350,$A$4:A350,"&lt;="&amp;A350),0)</f>
        <v>0</v>
      </c>
      <c r="N350" s="8"/>
    </row>
    <row r="351" spans="1:14">
      <c r="A351" s="13">
        <v>47027</v>
      </c>
      <c r="B351" t="s">
        <v>38</v>
      </c>
      <c r="C351" t="s">
        <v>23</v>
      </c>
      <c r="D351" t="s">
        <v>40</v>
      </c>
      <c r="E351" s="7"/>
      <c r="F351" s="7"/>
      <c r="G351" s="7"/>
      <c r="H351" s="7"/>
      <c r="I351" s="7"/>
      <c r="J351" s="4">
        <f>IFERROR(I351-E351-F351+G351+H351,0)</f>
        <v>0</v>
      </c>
      <c r="K351" s="6">
        <f>IFERROR(J351/(E351+F351),0)</f>
        <v>0</v>
      </c>
      <c r="L351" s="6">
        <f>IFERROR(K351-SUMIFS($K$4:K351,$B$4:B351,B351,$C$4:C351,C351,$A$4:A351,EDATE(A351,-1)),K351)</f>
        <v>0</v>
      </c>
      <c r="M351" s="6">
        <f>IFERROR((I351+SUMIFS($G$4:G351,$B$4:B351,B351,$C$4:C351,C351,$A$4:A351,"&lt;="&amp;A351)+SUMIFS($H$4:H351,$B$4:B351,B351,$C$4:C351,C351,$A$4:A351,"&lt;="&amp;A351)-SUMIFS($F$4:F351,$B$4:B351,B351,$C$4:C351,C351,$A$4:A351,"&lt;="&amp;A351))/SUMIFS($F$4:F351,$B$4:B351,B351,$C$4:C351,C351,$A$4:A351,"&lt;="&amp;A351),0)</f>
        <v>0</v>
      </c>
      <c r="N351" s="8"/>
    </row>
    <row r="352" spans="1:14">
      <c r="A352" s="13">
        <v>47027</v>
      </c>
      <c r="B352" t="s">
        <v>41</v>
      </c>
      <c r="C352" t="s">
        <v>19</v>
      </c>
      <c r="D352" t="s">
        <v>42</v>
      </c>
      <c r="E352" s="7"/>
      <c r="F352" s="7"/>
      <c r="G352" s="7"/>
      <c r="H352" s="7"/>
      <c r="I352" s="7"/>
      <c r="J352" s="4">
        <f>IFERROR(I352-E352-F352+G352+H352,0)</f>
        <v>0</v>
      </c>
      <c r="K352" s="6">
        <f>IFERROR(J352/(E352+F352),0)</f>
        <v>0</v>
      </c>
      <c r="L352" s="6">
        <f>IFERROR(K352-SUMIFS($K$4:K352,$B$4:B352,B352,$C$4:C352,C352,$A$4:A352,EDATE(A352,-1)),K352)</f>
        <v>0</v>
      </c>
      <c r="M352" s="6">
        <f>IFERROR((I352+SUMIFS($G$4:G352,$B$4:B352,B352,$C$4:C352,C352,$A$4:A352,"&lt;="&amp;A352)+SUMIFS($H$4:H352,$B$4:B352,B352,$C$4:C352,C352,$A$4:A352,"&lt;="&amp;A352)-SUMIFS($F$4:F352,$B$4:B352,B352,$C$4:C352,C352,$A$4:A352,"&lt;="&amp;A352))/SUMIFS($F$4:F352,$B$4:B352,B352,$C$4:C352,C352,$A$4:A352,"&lt;="&amp;A352),0)</f>
        <v>0</v>
      </c>
      <c r="N352" s="8"/>
    </row>
    <row r="353" spans="1:14">
      <c r="A353" s="13">
        <v>47027</v>
      </c>
      <c r="B353" t="s">
        <v>41</v>
      </c>
      <c r="C353" t="s">
        <v>23</v>
      </c>
      <c r="D353" t="s">
        <v>43</v>
      </c>
      <c r="E353" s="7"/>
      <c r="F353" s="7"/>
      <c r="G353" s="7"/>
      <c r="H353" s="7"/>
      <c r="I353" s="7"/>
      <c r="J353" s="4">
        <f>IFERROR(I353-E353-F353+G353+H353,0)</f>
        <v>0</v>
      </c>
      <c r="K353" s="6">
        <f>IFERROR(J353/(E353+F353),0)</f>
        <v>0</v>
      </c>
      <c r="L353" s="6">
        <f>IFERROR(K353-SUMIFS($K$4:K353,$B$4:B353,B353,$C$4:C353,C353,$A$4:A353,EDATE(A353,-1)),K353)</f>
        <v>0</v>
      </c>
      <c r="M353" s="6">
        <f>IFERROR((I353+SUMIFS($G$4:G353,$B$4:B353,B353,$C$4:C353,C353,$A$4:A353,"&lt;="&amp;A353)+SUMIFS($H$4:H353,$B$4:B353,B353,$C$4:C353,C353,$A$4:A353,"&lt;="&amp;A353)-SUMIFS($F$4:F353,$B$4:B353,B353,$C$4:C353,C353,$A$4:A353,"&lt;="&amp;A353))/SUMIFS($F$4:F353,$B$4:B353,B353,$C$4:C353,C353,$A$4:A353,"&lt;="&amp;A353),0)</f>
        <v>0</v>
      </c>
      <c r="N353" s="8"/>
    </row>
    <row r="354" spans="1:14">
      <c r="A354" s="13">
        <v>47058</v>
      </c>
      <c r="B354" t="s">
        <v>18</v>
      </c>
      <c r="C354" t="s">
        <v>19</v>
      </c>
      <c r="D354" t="s">
        <v>21</v>
      </c>
      <c r="E354" s="7"/>
      <c r="F354" s="7"/>
      <c r="G354" s="7"/>
      <c r="H354" s="7"/>
      <c r="I354" s="7"/>
      <c r="J354" s="4">
        <f>IFERROR(I354-E354-F354+G354+H354,0)</f>
        <v>0</v>
      </c>
      <c r="K354" s="6">
        <f>IFERROR(J354/(E354+F354),0)</f>
        <v>0</v>
      </c>
      <c r="L354" s="6">
        <f>IFERROR(K354-SUMIFS($K$4:K354,$B$4:B354,B354,$C$4:C354,C354,$A$4:A354,EDATE(A354,-1)),K354)</f>
        <v>0</v>
      </c>
      <c r="M354" s="6">
        <f>IFERROR((I354+SUMIFS($G$4:G354,$B$4:B354,B354,$C$4:C354,C354,$A$4:A354,"&lt;="&amp;A354)+SUMIFS($H$4:H354,$B$4:B354,B354,$C$4:C354,C354,$A$4:A354,"&lt;="&amp;A354)-SUMIFS($F$4:F354,$B$4:B354,B354,$C$4:C354,C354,$A$4:A354,"&lt;="&amp;A354))/SUMIFS($F$4:F354,$B$4:B354,B354,$C$4:C354,C354,$A$4:A354,"&lt;="&amp;A354),0)</f>
        <v>0</v>
      </c>
      <c r="N354" s="8"/>
    </row>
    <row r="355" spans="1:14">
      <c r="A355" s="13">
        <v>47058</v>
      </c>
      <c r="B355" t="s">
        <v>18</v>
      </c>
      <c r="C355" t="s">
        <v>23</v>
      </c>
      <c r="D355" t="s">
        <v>24</v>
      </c>
      <c r="E355" s="7"/>
      <c r="F355" s="7"/>
      <c r="G355" s="7"/>
      <c r="H355" s="7"/>
      <c r="I355" s="7"/>
      <c r="J355" s="4">
        <f>IFERROR(I355-E355-F355+G355+H355,0)</f>
        <v>0</v>
      </c>
      <c r="K355" s="6">
        <f>IFERROR(J355/(E355+F355),0)</f>
        <v>0</v>
      </c>
      <c r="L355" s="6">
        <f>IFERROR(K355-SUMIFS($K$4:K355,$B$4:B355,B355,$C$4:C355,C355,$A$4:A355,EDATE(A355,-1)),K355)</f>
        <v>0</v>
      </c>
      <c r="M355" s="6">
        <f>IFERROR((I355+SUMIFS($G$4:G355,$B$4:B355,B355,$C$4:C355,C355,$A$4:A355,"&lt;="&amp;A355)+SUMIFS($H$4:H355,$B$4:B355,B355,$C$4:C355,C355,$A$4:A355,"&lt;="&amp;A355)-SUMIFS($F$4:F355,$B$4:B355,B355,$C$4:C355,C355,$A$4:A355,"&lt;="&amp;A355))/SUMIFS($F$4:F355,$B$4:B355,B355,$C$4:C355,C355,$A$4:A355,"&lt;="&amp;A355),0)</f>
        <v>0</v>
      </c>
      <c r="N355" s="8"/>
    </row>
    <row r="356" spans="1:14">
      <c r="A356" s="13">
        <v>47058</v>
      </c>
      <c r="B356" t="s">
        <v>26</v>
      </c>
      <c r="C356" t="s">
        <v>19</v>
      </c>
      <c r="D356" t="s">
        <v>27</v>
      </c>
      <c r="E356" s="7"/>
      <c r="F356" s="7"/>
      <c r="G356" s="7"/>
      <c r="H356" s="7"/>
      <c r="I356" s="7"/>
      <c r="J356" s="4">
        <f>IFERROR(I356-E356-F356+G356+H356,0)</f>
        <v>0</v>
      </c>
      <c r="K356" s="6">
        <f>IFERROR(J356/(E356+F356),0)</f>
        <v>0</v>
      </c>
      <c r="L356" s="6">
        <f>IFERROR(K356-SUMIFS($K$4:K356,$B$4:B356,B356,$C$4:C356,C356,$A$4:A356,EDATE(A356,-1)),K356)</f>
        <v>0</v>
      </c>
      <c r="M356" s="6">
        <f>IFERROR((I356+SUMIFS($G$4:G356,$B$4:B356,B356,$C$4:C356,C356,$A$4:A356,"&lt;="&amp;A356)+SUMIFS($H$4:H356,$B$4:B356,B356,$C$4:C356,C356,$A$4:A356,"&lt;="&amp;A356)-SUMIFS($F$4:F356,$B$4:B356,B356,$C$4:C356,C356,$A$4:A356,"&lt;="&amp;A356))/SUMIFS($F$4:F356,$B$4:B356,B356,$C$4:C356,C356,$A$4:A356,"&lt;="&amp;A356),0)</f>
        <v>0</v>
      </c>
      <c r="N356" s="8"/>
    </row>
    <row r="357" spans="1:14">
      <c r="A357" s="13">
        <v>47058</v>
      </c>
      <c r="B357" t="s">
        <v>26</v>
      </c>
      <c r="C357" t="s">
        <v>23</v>
      </c>
      <c r="D357" t="s">
        <v>28</v>
      </c>
      <c r="E357" s="7"/>
      <c r="F357" s="7"/>
      <c r="G357" s="7"/>
      <c r="H357" s="7"/>
      <c r="I357" s="7"/>
      <c r="J357" s="4">
        <f>IFERROR(I357-E357-F357+G357+H357,0)</f>
        <v>0</v>
      </c>
      <c r="K357" s="6">
        <f>IFERROR(J357/(E357+F357),0)</f>
        <v>0</v>
      </c>
      <c r="L357" s="6">
        <f>IFERROR(K357-SUMIFS($K$4:K357,$B$4:B357,B357,$C$4:C357,C357,$A$4:A357,EDATE(A357,-1)),K357)</f>
        <v>0</v>
      </c>
      <c r="M357" s="6">
        <f>IFERROR((I357+SUMIFS($G$4:G357,$B$4:B357,B357,$C$4:C357,C357,$A$4:A357,"&lt;="&amp;A357)+SUMIFS($H$4:H357,$B$4:B357,B357,$C$4:C357,C357,$A$4:A357,"&lt;="&amp;A357)-SUMIFS($F$4:F357,$B$4:B357,B357,$C$4:C357,C357,$A$4:A357,"&lt;="&amp;A357))/SUMIFS($F$4:F357,$B$4:B357,B357,$C$4:C357,C357,$A$4:A357,"&lt;="&amp;A357),0)</f>
        <v>0</v>
      </c>
      <c r="N357" s="8"/>
    </row>
    <row r="358" spans="1:14">
      <c r="A358" s="13">
        <v>47058</v>
      </c>
      <c r="B358" t="s">
        <v>29</v>
      </c>
      <c r="C358" t="s">
        <v>19</v>
      </c>
      <c r="D358" t="s">
        <v>30</v>
      </c>
      <c r="E358" s="7"/>
      <c r="F358" s="7"/>
      <c r="G358" s="7"/>
      <c r="H358" s="7"/>
      <c r="I358" s="7"/>
      <c r="J358" s="4">
        <f>IFERROR(I358-E358-F358+G358+H358,0)</f>
        <v>0</v>
      </c>
      <c r="K358" s="6">
        <f>IFERROR(J358/(E358+F358),0)</f>
        <v>0</v>
      </c>
      <c r="L358" s="6">
        <f>IFERROR(K358-SUMIFS($K$4:K358,$B$4:B358,B358,$C$4:C358,C358,$A$4:A358,EDATE(A358,-1)),K358)</f>
        <v>0</v>
      </c>
      <c r="M358" s="6">
        <f>IFERROR((I358+SUMIFS($G$4:G358,$B$4:B358,B358,$C$4:C358,C358,$A$4:A358,"&lt;="&amp;A358)+SUMIFS($H$4:H358,$B$4:B358,B358,$C$4:C358,C358,$A$4:A358,"&lt;="&amp;A358)-SUMIFS($F$4:F358,$B$4:B358,B358,$C$4:C358,C358,$A$4:A358,"&lt;="&amp;A358))/SUMIFS($F$4:F358,$B$4:B358,B358,$C$4:C358,C358,$A$4:A358,"&lt;="&amp;A358),0)</f>
        <v>0</v>
      </c>
      <c r="N358" s="8"/>
    </row>
    <row r="359" spans="1:14">
      <c r="A359" s="13">
        <v>47058</v>
      </c>
      <c r="B359" t="s">
        <v>29</v>
      </c>
      <c r="C359" t="s">
        <v>23</v>
      </c>
      <c r="D359" t="s">
        <v>31</v>
      </c>
      <c r="E359" s="7"/>
      <c r="F359" s="7"/>
      <c r="G359" s="7"/>
      <c r="H359" s="7"/>
      <c r="I359" s="7"/>
      <c r="J359" s="4">
        <f>IFERROR(I359-E359-F359+G359+H359,0)</f>
        <v>0</v>
      </c>
      <c r="K359" s="6">
        <f>IFERROR(J359/(E359+F359),0)</f>
        <v>0</v>
      </c>
      <c r="L359" s="6">
        <f>IFERROR(K359-SUMIFS($K$4:K359,$B$4:B359,B359,$C$4:C359,C359,$A$4:A359,EDATE(A359,-1)),K359)</f>
        <v>0</v>
      </c>
      <c r="M359" s="6">
        <f>IFERROR((I359+SUMIFS($G$4:G359,$B$4:B359,B359,$C$4:C359,C359,$A$4:A359,"&lt;="&amp;A359)+SUMIFS($H$4:H359,$B$4:B359,B359,$C$4:C359,C359,$A$4:A359,"&lt;="&amp;A359)-SUMIFS($F$4:F359,$B$4:B359,B359,$C$4:C359,C359,$A$4:A359,"&lt;="&amp;A359))/SUMIFS($F$4:F359,$B$4:B359,B359,$C$4:C359,C359,$A$4:A359,"&lt;="&amp;A359),0)</f>
        <v>0</v>
      </c>
      <c r="N359" s="8"/>
    </row>
    <row r="360" spans="1:14">
      <c r="A360" s="13">
        <v>47058</v>
      </c>
      <c r="B360" t="s">
        <v>32</v>
      </c>
      <c r="C360" t="s">
        <v>19</v>
      </c>
      <c r="D360" t="s">
        <v>33</v>
      </c>
      <c r="E360" s="7"/>
      <c r="F360" s="7"/>
      <c r="G360" s="7"/>
      <c r="H360" s="7"/>
      <c r="I360" s="7"/>
      <c r="J360" s="4">
        <f>IFERROR(I360-E360-F360+G360+H360,0)</f>
        <v>0</v>
      </c>
      <c r="K360" s="6">
        <f>IFERROR(J360/(E360+F360),0)</f>
        <v>0</v>
      </c>
      <c r="L360" s="6">
        <f>IFERROR(K360-SUMIFS($K$4:K360,$B$4:B360,B360,$C$4:C360,C360,$A$4:A360,EDATE(A360,-1)),K360)</f>
        <v>0</v>
      </c>
      <c r="M360" s="6">
        <f>IFERROR((I360+SUMIFS($G$4:G360,$B$4:B360,B360,$C$4:C360,C360,$A$4:A360,"&lt;="&amp;A360)+SUMIFS($H$4:H360,$B$4:B360,B360,$C$4:C360,C360,$A$4:A360,"&lt;="&amp;A360)-SUMIFS($F$4:F360,$B$4:B360,B360,$C$4:C360,C360,$A$4:A360,"&lt;="&amp;A360))/SUMIFS($F$4:F360,$B$4:B360,B360,$C$4:C360,C360,$A$4:A360,"&lt;="&amp;A360),0)</f>
        <v>0</v>
      </c>
      <c r="N360" s="8"/>
    </row>
    <row r="361" spans="1:14">
      <c r="A361" s="13">
        <v>47058</v>
      </c>
      <c r="B361" t="s">
        <v>32</v>
      </c>
      <c r="C361" t="s">
        <v>23</v>
      </c>
      <c r="D361" t="s">
        <v>34</v>
      </c>
      <c r="E361" s="7"/>
      <c r="F361" s="7"/>
      <c r="G361" s="7"/>
      <c r="H361" s="7"/>
      <c r="I361" s="7"/>
      <c r="J361" s="4">
        <f>IFERROR(I361-E361-F361+G361+H361,0)</f>
        <v>0</v>
      </c>
      <c r="K361" s="6">
        <f>IFERROR(J361/(E361+F361),0)</f>
        <v>0</v>
      </c>
      <c r="L361" s="6">
        <f>IFERROR(K361-SUMIFS($K$4:K361,$B$4:B361,B361,$C$4:C361,C361,$A$4:A361,EDATE(A361,-1)),K361)</f>
        <v>0</v>
      </c>
      <c r="M361" s="6">
        <f>IFERROR((I361+SUMIFS($G$4:G361,$B$4:B361,B361,$C$4:C361,C361,$A$4:A361,"&lt;="&amp;A361)+SUMIFS($H$4:H361,$B$4:B361,B361,$C$4:C361,C361,$A$4:A361,"&lt;="&amp;A361)-SUMIFS($F$4:F361,$B$4:B361,B361,$C$4:C361,C361,$A$4:A361,"&lt;="&amp;A361))/SUMIFS($F$4:F361,$B$4:B361,B361,$C$4:C361,C361,$A$4:A361,"&lt;="&amp;A361),0)</f>
        <v>0</v>
      </c>
      <c r="N361" s="8"/>
    </row>
    <row r="362" spans="1:14">
      <c r="A362" s="13">
        <v>47058</v>
      </c>
      <c r="B362" t="s">
        <v>35</v>
      </c>
      <c r="C362" t="s">
        <v>19</v>
      </c>
      <c r="D362" t="s">
        <v>36</v>
      </c>
      <c r="E362" s="7"/>
      <c r="F362" s="7"/>
      <c r="G362" s="7"/>
      <c r="H362" s="7"/>
      <c r="I362" s="7"/>
      <c r="J362" s="4">
        <f>IFERROR(I362-E362-F362+G362+H362,0)</f>
        <v>0</v>
      </c>
      <c r="K362" s="6">
        <f>IFERROR(J362/(E362+F362),0)</f>
        <v>0</v>
      </c>
      <c r="L362" s="6">
        <f>IFERROR(K362-SUMIFS($K$4:K362,$B$4:B362,B362,$C$4:C362,C362,$A$4:A362,EDATE(A362,-1)),K362)</f>
        <v>0</v>
      </c>
      <c r="M362" s="6">
        <f>IFERROR((I362+SUMIFS($G$4:G362,$B$4:B362,B362,$C$4:C362,C362,$A$4:A362,"&lt;="&amp;A362)+SUMIFS($H$4:H362,$B$4:B362,B362,$C$4:C362,C362,$A$4:A362,"&lt;="&amp;A362)-SUMIFS($F$4:F362,$B$4:B362,B362,$C$4:C362,C362,$A$4:A362,"&lt;="&amp;A362))/SUMIFS($F$4:F362,$B$4:B362,B362,$C$4:C362,C362,$A$4:A362,"&lt;="&amp;A362),0)</f>
        <v>0</v>
      </c>
      <c r="N362" s="8"/>
    </row>
    <row r="363" spans="1:14">
      <c r="A363" s="13">
        <v>47058</v>
      </c>
      <c r="B363" t="s">
        <v>35</v>
      </c>
      <c r="C363" t="s">
        <v>23</v>
      </c>
      <c r="D363" t="s">
        <v>37</v>
      </c>
      <c r="E363" s="7"/>
      <c r="F363" s="7"/>
      <c r="G363" s="7"/>
      <c r="H363" s="7"/>
      <c r="I363" s="7"/>
      <c r="J363" s="4">
        <f>IFERROR(I363-E363-F363+G363+H363,0)</f>
        <v>0</v>
      </c>
      <c r="K363" s="6">
        <f>IFERROR(J363/(E363+F363),0)</f>
        <v>0</v>
      </c>
      <c r="L363" s="6">
        <f>IFERROR(K363-SUMIFS($K$4:K363,$B$4:B363,B363,$C$4:C363,C363,$A$4:A363,EDATE(A363,-1)),K363)</f>
        <v>0</v>
      </c>
      <c r="M363" s="6">
        <f>IFERROR((I363+SUMIFS($G$4:G363,$B$4:B363,B363,$C$4:C363,C363,$A$4:A363,"&lt;="&amp;A363)+SUMIFS($H$4:H363,$B$4:B363,B363,$C$4:C363,C363,$A$4:A363,"&lt;="&amp;A363)-SUMIFS($F$4:F363,$B$4:B363,B363,$C$4:C363,C363,$A$4:A363,"&lt;="&amp;A363))/SUMIFS($F$4:F363,$B$4:B363,B363,$C$4:C363,C363,$A$4:A363,"&lt;="&amp;A363),0)</f>
        <v>0</v>
      </c>
      <c r="N363" s="8"/>
    </row>
    <row r="364" spans="1:14">
      <c r="A364" s="13">
        <v>47058</v>
      </c>
      <c r="B364" t="s">
        <v>38</v>
      </c>
      <c r="C364" t="s">
        <v>19</v>
      </c>
      <c r="D364" t="s">
        <v>39</v>
      </c>
      <c r="E364" s="7"/>
      <c r="F364" s="7"/>
      <c r="G364" s="7"/>
      <c r="H364" s="7"/>
      <c r="I364" s="7"/>
      <c r="J364" s="4">
        <f>IFERROR(I364-E364-F364+G364+H364,0)</f>
        <v>0</v>
      </c>
      <c r="K364" s="6">
        <f>IFERROR(J364/(E364+F364),0)</f>
        <v>0</v>
      </c>
      <c r="L364" s="6">
        <f>IFERROR(K364-SUMIFS($K$4:K364,$B$4:B364,B364,$C$4:C364,C364,$A$4:A364,EDATE(A364,-1)),K364)</f>
        <v>0</v>
      </c>
      <c r="M364" s="6">
        <f>IFERROR((I364+SUMIFS($G$4:G364,$B$4:B364,B364,$C$4:C364,C364,$A$4:A364,"&lt;="&amp;A364)+SUMIFS($H$4:H364,$B$4:B364,B364,$C$4:C364,C364,$A$4:A364,"&lt;="&amp;A364)-SUMIFS($F$4:F364,$B$4:B364,B364,$C$4:C364,C364,$A$4:A364,"&lt;="&amp;A364))/SUMIFS($F$4:F364,$B$4:B364,B364,$C$4:C364,C364,$A$4:A364,"&lt;="&amp;A364),0)</f>
        <v>0</v>
      </c>
      <c r="N364" s="8"/>
    </row>
    <row r="365" spans="1:14">
      <c r="A365" s="13">
        <v>47058</v>
      </c>
      <c r="B365" t="s">
        <v>38</v>
      </c>
      <c r="C365" t="s">
        <v>23</v>
      </c>
      <c r="D365" t="s">
        <v>40</v>
      </c>
      <c r="E365" s="7"/>
      <c r="F365" s="7"/>
      <c r="G365" s="7"/>
      <c r="H365" s="7"/>
      <c r="I365" s="7"/>
      <c r="J365" s="4">
        <f>IFERROR(I365-E365-F365+G365+H365,0)</f>
        <v>0</v>
      </c>
      <c r="K365" s="6">
        <f>IFERROR(J365/(E365+F365),0)</f>
        <v>0</v>
      </c>
      <c r="L365" s="6">
        <f>IFERROR(K365-SUMIFS($K$4:K365,$B$4:B365,B365,$C$4:C365,C365,$A$4:A365,EDATE(A365,-1)),K365)</f>
        <v>0</v>
      </c>
      <c r="M365" s="6">
        <f>IFERROR((I365+SUMIFS($G$4:G365,$B$4:B365,B365,$C$4:C365,C365,$A$4:A365,"&lt;="&amp;A365)+SUMIFS($H$4:H365,$B$4:B365,B365,$C$4:C365,C365,$A$4:A365,"&lt;="&amp;A365)-SUMIFS($F$4:F365,$B$4:B365,B365,$C$4:C365,C365,$A$4:A365,"&lt;="&amp;A365))/SUMIFS($F$4:F365,$B$4:B365,B365,$C$4:C365,C365,$A$4:A365,"&lt;="&amp;A365),0)</f>
        <v>0</v>
      </c>
      <c r="N365" s="8"/>
    </row>
    <row r="366" spans="1:14">
      <c r="A366" s="13">
        <v>47058</v>
      </c>
      <c r="B366" t="s">
        <v>41</v>
      </c>
      <c r="C366" t="s">
        <v>19</v>
      </c>
      <c r="D366" t="s">
        <v>42</v>
      </c>
      <c r="E366" s="7"/>
      <c r="F366" s="7"/>
      <c r="G366" s="7"/>
      <c r="H366" s="7"/>
      <c r="I366" s="7"/>
      <c r="J366" s="4">
        <f>IFERROR(I366-E366-F366+G366+H366,0)</f>
        <v>0</v>
      </c>
      <c r="K366" s="6">
        <f>IFERROR(J366/(E366+F366),0)</f>
        <v>0</v>
      </c>
      <c r="L366" s="6">
        <f>IFERROR(K366-SUMIFS($K$4:K366,$B$4:B366,B366,$C$4:C366,C366,$A$4:A366,EDATE(A366,-1)),K366)</f>
        <v>0</v>
      </c>
      <c r="M366" s="6">
        <f>IFERROR((I366+SUMIFS($G$4:G366,$B$4:B366,B366,$C$4:C366,C366,$A$4:A366,"&lt;="&amp;A366)+SUMIFS($H$4:H366,$B$4:B366,B366,$C$4:C366,C366,$A$4:A366,"&lt;="&amp;A366)-SUMIFS($F$4:F366,$B$4:B366,B366,$C$4:C366,C366,$A$4:A366,"&lt;="&amp;A366))/SUMIFS($F$4:F366,$B$4:B366,B366,$C$4:C366,C366,$A$4:A366,"&lt;="&amp;A366),0)</f>
        <v>0</v>
      </c>
      <c r="N366" s="8"/>
    </row>
    <row r="367" spans="1:14">
      <c r="A367" s="13">
        <v>47058</v>
      </c>
      <c r="B367" t="s">
        <v>41</v>
      </c>
      <c r="C367" t="s">
        <v>23</v>
      </c>
      <c r="D367" t="s">
        <v>43</v>
      </c>
      <c r="E367" s="7"/>
      <c r="F367" s="7"/>
      <c r="G367" s="7"/>
      <c r="H367" s="7"/>
      <c r="I367" s="7"/>
      <c r="J367" s="4">
        <f>IFERROR(I367-E367-F367+G367+H367,0)</f>
        <v>0</v>
      </c>
      <c r="K367" s="6">
        <f>IFERROR(J367/(E367+F367),0)</f>
        <v>0</v>
      </c>
      <c r="L367" s="6">
        <f>IFERROR(K367-SUMIFS($K$4:K367,$B$4:B367,B367,$C$4:C367,C367,$A$4:A367,EDATE(A367,-1)),K367)</f>
        <v>0</v>
      </c>
      <c r="M367" s="6">
        <f>IFERROR((I367+SUMIFS($G$4:G367,$B$4:B367,B367,$C$4:C367,C367,$A$4:A367,"&lt;="&amp;A367)+SUMIFS($H$4:H367,$B$4:B367,B367,$C$4:C367,C367,$A$4:A367,"&lt;="&amp;A367)-SUMIFS($F$4:F367,$B$4:B367,B367,$C$4:C367,C367,$A$4:A367,"&lt;="&amp;A367))/SUMIFS($F$4:F367,$B$4:B367,B367,$C$4:C367,C367,$A$4:A367,"&lt;="&amp;A367),0)</f>
        <v>0</v>
      </c>
      <c r="N367" s="8"/>
    </row>
    <row r="368" spans="1:14">
      <c r="A368" s="13">
        <v>47088</v>
      </c>
      <c r="B368" t="s">
        <v>18</v>
      </c>
      <c r="C368" t="s">
        <v>19</v>
      </c>
      <c r="D368" t="s">
        <v>21</v>
      </c>
      <c r="E368" s="7"/>
      <c r="F368" s="7"/>
      <c r="G368" s="7"/>
      <c r="H368" s="7"/>
      <c r="I368" s="7"/>
      <c r="J368" s="4">
        <f>IFERROR(I368-E368-F368+G368+H368,0)</f>
        <v>0</v>
      </c>
      <c r="K368" s="6">
        <f>IFERROR(J368/(E368+F368),0)</f>
        <v>0</v>
      </c>
      <c r="L368" s="6">
        <f>IFERROR(K368-SUMIFS($K$4:K368,$B$4:B368,B368,$C$4:C368,C368,$A$4:A368,EDATE(A368,-1)),K368)</f>
        <v>0</v>
      </c>
      <c r="M368" s="6">
        <f>IFERROR((I368+SUMIFS($G$4:G368,$B$4:B368,B368,$C$4:C368,C368,$A$4:A368,"&lt;="&amp;A368)+SUMIFS($H$4:H368,$B$4:B368,B368,$C$4:C368,C368,$A$4:A368,"&lt;="&amp;A368)-SUMIFS($F$4:F368,$B$4:B368,B368,$C$4:C368,C368,$A$4:A368,"&lt;="&amp;A368))/SUMIFS($F$4:F368,$B$4:B368,B368,$C$4:C368,C368,$A$4:A368,"&lt;="&amp;A368),0)</f>
        <v>0</v>
      </c>
      <c r="N368" s="8"/>
    </row>
    <row r="369" spans="1:14">
      <c r="A369" s="13">
        <v>47088</v>
      </c>
      <c r="B369" t="s">
        <v>18</v>
      </c>
      <c r="C369" t="s">
        <v>23</v>
      </c>
      <c r="D369" t="s">
        <v>24</v>
      </c>
      <c r="E369" s="7"/>
      <c r="F369" s="7"/>
      <c r="G369" s="7"/>
      <c r="H369" s="7"/>
      <c r="I369" s="7"/>
      <c r="J369" s="4">
        <f>IFERROR(I369-E369-F369+G369+H369,0)</f>
        <v>0</v>
      </c>
      <c r="K369" s="6">
        <f>IFERROR(J369/(E369+F369),0)</f>
        <v>0</v>
      </c>
      <c r="L369" s="6">
        <f>IFERROR(K369-SUMIFS($K$4:K369,$B$4:B369,B369,$C$4:C369,C369,$A$4:A369,EDATE(A369,-1)),K369)</f>
        <v>0</v>
      </c>
      <c r="M369" s="6">
        <f>IFERROR((I369+SUMIFS($G$4:G369,$B$4:B369,B369,$C$4:C369,C369,$A$4:A369,"&lt;="&amp;A369)+SUMIFS($H$4:H369,$B$4:B369,B369,$C$4:C369,C369,$A$4:A369,"&lt;="&amp;A369)-SUMIFS($F$4:F369,$B$4:B369,B369,$C$4:C369,C369,$A$4:A369,"&lt;="&amp;A369))/SUMIFS($F$4:F369,$B$4:B369,B369,$C$4:C369,C369,$A$4:A369,"&lt;="&amp;A369),0)</f>
        <v>0</v>
      </c>
      <c r="N369" s="8"/>
    </row>
    <row r="370" spans="1:14">
      <c r="A370" s="13">
        <v>47088</v>
      </c>
      <c r="B370" t="s">
        <v>26</v>
      </c>
      <c r="C370" t="s">
        <v>19</v>
      </c>
      <c r="D370" t="s">
        <v>27</v>
      </c>
      <c r="E370" s="7"/>
      <c r="F370" s="7"/>
      <c r="G370" s="7"/>
      <c r="H370" s="7"/>
      <c r="I370" s="7"/>
      <c r="J370" s="4">
        <f>IFERROR(I370-E370-F370+G370+H370,0)</f>
        <v>0</v>
      </c>
      <c r="K370" s="6">
        <f>IFERROR(J370/(E370+F370),0)</f>
        <v>0</v>
      </c>
      <c r="L370" s="6">
        <f>IFERROR(K370-SUMIFS($K$4:K370,$B$4:B370,B370,$C$4:C370,C370,$A$4:A370,EDATE(A370,-1)),K370)</f>
        <v>0</v>
      </c>
      <c r="M370" s="6">
        <f>IFERROR((I370+SUMIFS($G$4:G370,$B$4:B370,B370,$C$4:C370,C370,$A$4:A370,"&lt;="&amp;A370)+SUMIFS($H$4:H370,$B$4:B370,B370,$C$4:C370,C370,$A$4:A370,"&lt;="&amp;A370)-SUMIFS($F$4:F370,$B$4:B370,B370,$C$4:C370,C370,$A$4:A370,"&lt;="&amp;A370))/SUMIFS($F$4:F370,$B$4:B370,B370,$C$4:C370,C370,$A$4:A370,"&lt;="&amp;A370),0)</f>
        <v>0</v>
      </c>
      <c r="N370" s="8"/>
    </row>
    <row r="371" spans="1:14">
      <c r="A371" s="13">
        <v>47088</v>
      </c>
      <c r="B371" t="s">
        <v>26</v>
      </c>
      <c r="C371" t="s">
        <v>23</v>
      </c>
      <c r="D371" t="s">
        <v>28</v>
      </c>
      <c r="E371" s="7"/>
      <c r="F371" s="7"/>
      <c r="G371" s="7"/>
      <c r="H371" s="7"/>
      <c r="I371" s="7"/>
      <c r="J371" s="4">
        <f>IFERROR(I371-E371-F371+G371+H371,0)</f>
        <v>0</v>
      </c>
      <c r="K371" s="6">
        <f>IFERROR(J371/(E371+F371),0)</f>
        <v>0</v>
      </c>
      <c r="L371" s="6">
        <f>IFERROR(K371-SUMIFS($K$4:K371,$B$4:B371,B371,$C$4:C371,C371,$A$4:A371,EDATE(A371,-1)),K371)</f>
        <v>0</v>
      </c>
      <c r="M371" s="6">
        <f>IFERROR((I371+SUMIFS($G$4:G371,$B$4:B371,B371,$C$4:C371,C371,$A$4:A371,"&lt;="&amp;A371)+SUMIFS($H$4:H371,$B$4:B371,B371,$C$4:C371,C371,$A$4:A371,"&lt;="&amp;A371)-SUMIFS($F$4:F371,$B$4:B371,B371,$C$4:C371,C371,$A$4:A371,"&lt;="&amp;A371))/SUMIFS($F$4:F371,$B$4:B371,B371,$C$4:C371,C371,$A$4:A371,"&lt;="&amp;A371),0)</f>
        <v>0</v>
      </c>
      <c r="N371" s="8"/>
    </row>
    <row r="372" spans="1:14">
      <c r="A372" s="13">
        <v>47088</v>
      </c>
      <c r="B372" t="s">
        <v>29</v>
      </c>
      <c r="C372" t="s">
        <v>19</v>
      </c>
      <c r="D372" t="s">
        <v>30</v>
      </c>
      <c r="E372" s="7"/>
      <c r="F372" s="7"/>
      <c r="G372" s="7"/>
      <c r="H372" s="7"/>
      <c r="I372" s="7"/>
      <c r="J372" s="4">
        <f>IFERROR(I372-E372-F372+G372+H372,0)</f>
        <v>0</v>
      </c>
      <c r="K372" s="6">
        <f>IFERROR(J372/(E372+F372),0)</f>
        <v>0</v>
      </c>
      <c r="L372" s="6">
        <f>IFERROR(K372-SUMIFS($K$4:K372,$B$4:B372,B372,$C$4:C372,C372,$A$4:A372,EDATE(A372,-1)),K372)</f>
        <v>0</v>
      </c>
      <c r="M372" s="6">
        <f>IFERROR((I372+SUMIFS($G$4:G372,$B$4:B372,B372,$C$4:C372,C372,$A$4:A372,"&lt;="&amp;A372)+SUMIFS($H$4:H372,$B$4:B372,B372,$C$4:C372,C372,$A$4:A372,"&lt;="&amp;A372)-SUMIFS($F$4:F372,$B$4:B372,B372,$C$4:C372,C372,$A$4:A372,"&lt;="&amp;A372))/SUMIFS($F$4:F372,$B$4:B372,B372,$C$4:C372,C372,$A$4:A372,"&lt;="&amp;A372),0)</f>
        <v>0</v>
      </c>
      <c r="N372" s="8"/>
    </row>
    <row r="373" spans="1:14">
      <c r="A373" s="13">
        <v>47088</v>
      </c>
      <c r="B373" t="s">
        <v>29</v>
      </c>
      <c r="C373" t="s">
        <v>23</v>
      </c>
      <c r="D373" t="s">
        <v>31</v>
      </c>
      <c r="E373" s="7"/>
      <c r="F373" s="7"/>
      <c r="G373" s="7"/>
      <c r="H373" s="7"/>
      <c r="I373" s="7"/>
      <c r="J373" s="4">
        <f>IFERROR(I373-E373-F373+G373+H373,0)</f>
        <v>0</v>
      </c>
      <c r="K373" s="6">
        <f>IFERROR(J373/(E373+F373),0)</f>
        <v>0</v>
      </c>
      <c r="L373" s="6">
        <f>IFERROR(K373-SUMIFS($K$4:K373,$B$4:B373,B373,$C$4:C373,C373,$A$4:A373,EDATE(A373,-1)),K373)</f>
        <v>0</v>
      </c>
      <c r="M373" s="6">
        <f>IFERROR((I373+SUMIFS($G$4:G373,$B$4:B373,B373,$C$4:C373,C373,$A$4:A373,"&lt;="&amp;A373)+SUMIFS($H$4:H373,$B$4:B373,B373,$C$4:C373,C373,$A$4:A373,"&lt;="&amp;A373)-SUMIFS($F$4:F373,$B$4:B373,B373,$C$4:C373,C373,$A$4:A373,"&lt;="&amp;A373))/SUMIFS($F$4:F373,$B$4:B373,B373,$C$4:C373,C373,$A$4:A373,"&lt;="&amp;A373),0)</f>
        <v>0</v>
      </c>
      <c r="N373" s="8"/>
    </row>
    <row r="374" spans="1:14">
      <c r="A374" s="13">
        <v>47088</v>
      </c>
      <c r="B374" t="s">
        <v>32</v>
      </c>
      <c r="C374" t="s">
        <v>19</v>
      </c>
      <c r="D374" t="s">
        <v>33</v>
      </c>
      <c r="E374" s="7"/>
      <c r="F374" s="7"/>
      <c r="G374" s="7"/>
      <c r="H374" s="7"/>
      <c r="I374" s="7"/>
      <c r="J374" s="4">
        <f>IFERROR(I374-E374-F374+G374+H374,0)</f>
        <v>0</v>
      </c>
      <c r="K374" s="6">
        <f>IFERROR(J374/(E374+F374),0)</f>
        <v>0</v>
      </c>
      <c r="L374" s="6">
        <f>IFERROR(K374-SUMIFS($K$4:K374,$B$4:B374,B374,$C$4:C374,C374,$A$4:A374,EDATE(A374,-1)),K374)</f>
        <v>0</v>
      </c>
      <c r="M374" s="6">
        <f>IFERROR((I374+SUMIFS($G$4:G374,$B$4:B374,B374,$C$4:C374,C374,$A$4:A374,"&lt;="&amp;A374)+SUMIFS($H$4:H374,$B$4:B374,B374,$C$4:C374,C374,$A$4:A374,"&lt;="&amp;A374)-SUMIFS($F$4:F374,$B$4:B374,B374,$C$4:C374,C374,$A$4:A374,"&lt;="&amp;A374))/SUMIFS($F$4:F374,$B$4:B374,B374,$C$4:C374,C374,$A$4:A374,"&lt;="&amp;A374),0)</f>
        <v>0</v>
      </c>
      <c r="N374" s="8"/>
    </row>
    <row r="375" spans="1:14">
      <c r="A375" s="13">
        <v>47088</v>
      </c>
      <c r="B375" t="s">
        <v>32</v>
      </c>
      <c r="C375" t="s">
        <v>23</v>
      </c>
      <c r="D375" t="s">
        <v>34</v>
      </c>
      <c r="E375" s="7"/>
      <c r="F375" s="7"/>
      <c r="G375" s="7"/>
      <c r="H375" s="7"/>
      <c r="I375" s="7"/>
      <c r="J375" s="4">
        <f>IFERROR(I375-E375-F375+G375+H375,0)</f>
        <v>0</v>
      </c>
      <c r="K375" s="6">
        <f>IFERROR(J375/(E375+F375),0)</f>
        <v>0</v>
      </c>
      <c r="L375" s="6">
        <f>IFERROR(K375-SUMIFS($K$4:K375,$B$4:B375,B375,$C$4:C375,C375,$A$4:A375,EDATE(A375,-1)),K375)</f>
        <v>0</v>
      </c>
      <c r="M375" s="6">
        <f>IFERROR((I375+SUMIFS($G$4:G375,$B$4:B375,B375,$C$4:C375,C375,$A$4:A375,"&lt;="&amp;A375)+SUMIFS($H$4:H375,$B$4:B375,B375,$C$4:C375,C375,$A$4:A375,"&lt;="&amp;A375)-SUMIFS($F$4:F375,$B$4:B375,B375,$C$4:C375,C375,$A$4:A375,"&lt;="&amp;A375))/SUMIFS($F$4:F375,$B$4:B375,B375,$C$4:C375,C375,$A$4:A375,"&lt;="&amp;A375),0)</f>
        <v>0</v>
      </c>
      <c r="N375" s="8"/>
    </row>
    <row r="376" spans="1:14">
      <c r="A376" s="13">
        <v>47088</v>
      </c>
      <c r="B376" t="s">
        <v>35</v>
      </c>
      <c r="C376" t="s">
        <v>19</v>
      </c>
      <c r="D376" t="s">
        <v>36</v>
      </c>
      <c r="E376" s="7"/>
      <c r="F376" s="7"/>
      <c r="G376" s="7"/>
      <c r="H376" s="7"/>
      <c r="I376" s="7"/>
      <c r="J376" s="4">
        <f>IFERROR(I376-E376-F376+G376+H376,0)</f>
        <v>0</v>
      </c>
      <c r="K376" s="6">
        <f>IFERROR(J376/(E376+F376),0)</f>
        <v>0</v>
      </c>
      <c r="L376" s="6">
        <f>IFERROR(K376-SUMIFS($K$4:K376,$B$4:B376,B376,$C$4:C376,C376,$A$4:A376,EDATE(A376,-1)),K376)</f>
        <v>0</v>
      </c>
      <c r="M376" s="6">
        <f>IFERROR((I376+SUMIFS($G$4:G376,$B$4:B376,B376,$C$4:C376,C376,$A$4:A376,"&lt;="&amp;A376)+SUMIFS($H$4:H376,$B$4:B376,B376,$C$4:C376,C376,$A$4:A376,"&lt;="&amp;A376)-SUMIFS($F$4:F376,$B$4:B376,B376,$C$4:C376,C376,$A$4:A376,"&lt;="&amp;A376))/SUMIFS($F$4:F376,$B$4:B376,B376,$C$4:C376,C376,$A$4:A376,"&lt;="&amp;A376),0)</f>
        <v>0</v>
      </c>
      <c r="N376" s="8"/>
    </row>
    <row r="377" spans="1:14">
      <c r="A377" s="13">
        <v>47088</v>
      </c>
      <c r="B377" t="s">
        <v>35</v>
      </c>
      <c r="C377" t="s">
        <v>23</v>
      </c>
      <c r="D377" t="s">
        <v>37</v>
      </c>
      <c r="E377" s="7"/>
      <c r="F377" s="7"/>
      <c r="G377" s="7"/>
      <c r="H377" s="7"/>
      <c r="I377" s="7"/>
      <c r="J377" s="4">
        <f>IFERROR(I377-E377-F377+G377+H377,0)</f>
        <v>0</v>
      </c>
      <c r="K377" s="6">
        <f>IFERROR(J377/(E377+F377),0)</f>
        <v>0</v>
      </c>
      <c r="L377" s="6">
        <f>IFERROR(K377-SUMIFS($K$4:K377,$B$4:B377,B377,$C$4:C377,C377,$A$4:A377,EDATE(A377,-1)),K377)</f>
        <v>0</v>
      </c>
      <c r="M377" s="6">
        <f>IFERROR((I377+SUMIFS($G$4:G377,$B$4:B377,B377,$C$4:C377,C377,$A$4:A377,"&lt;="&amp;A377)+SUMIFS($H$4:H377,$B$4:B377,B377,$C$4:C377,C377,$A$4:A377,"&lt;="&amp;A377)-SUMIFS($F$4:F377,$B$4:B377,B377,$C$4:C377,C377,$A$4:A377,"&lt;="&amp;A377))/SUMIFS($F$4:F377,$B$4:B377,B377,$C$4:C377,C377,$A$4:A377,"&lt;="&amp;A377),0)</f>
        <v>0</v>
      </c>
      <c r="N377" s="8"/>
    </row>
    <row r="378" spans="1:14">
      <c r="A378" s="13">
        <v>47088</v>
      </c>
      <c r="B378" t="s">
        <v>38</v>
      </c>
      <c r="C378" t="s">
        <v>19</v>
      </c>
      <c r="D378" t="s">
        <v>39</v>
      </c>
      <c r="E378" s="7"/>
      <c r="F378" s="7"/>
      <c r="G378" s="7"/>
      <c r="H378" s="7"/>
      <c r="I378" s="7"/>
      <c r="J378" s="4">
        <f>IFERROR(I378-E378-F378+G378+H378,0)</f>
        <v>0</v>
      </c>
      <c r="K378" s="6">
        <f>IFERROR(J378/(E378+F378),0)</f>
        <v>0</v>
      </c>
      <c r="L378" s="6">
        <f>IFERROR(K378-SUMIFS($K$4:K378,$B$4:B378,B378,$C$4:C378,C378,$A$4:A378,EDATE(A378,-1)),K378)</f>
        <v>0</v>
      </c>
      <c r="M378" s="6">
        <f>IFERROR((I378+SUMIFS($G$4:G378,$B$4:B378,B378,$C$4:C378,C378,$A$4:A378,"&lt;="&amp;A378)+SUMIFS($H$4:H378,$B$4:B378,B378,$C$4:C378,C378,$A$4:A378,"&lt;="&amp;A378)-SUMIFS($F$4:F378,$B$4:B378,B378,$C$4:C378,C378,$A$4:A378,"&lt;="&amp;A378))/SUMIFS($F$4:F378,$B$4:B378,B378,$C$4:C378,C378,$A$4:A378,"&lt;="&amp;A378),0)</f>
        <v>0</v>
      </c>
      <c r="N378" s="8"/>
    </row>
    <row r="379" spans="1:14">
      <c r="A379" s="13">
        <v>47088</v>
      </c>
      <c r="B379" t="s">
        <v>38</v>
      </c>
      <c r="C379" t="s">
        <v>23</v>
      </c>
      <c r="D379" t="s">
        <v>40</v>
      </c>
      <c r="E379" s="7"/>
      <c r="F379" s="7"/>
      <c r="G379" s="7"/>
      <c r="H379" s="7"/>
      <c r="I379" s="7"/>
      <c r="J379" s="4">
        <f>IFERROR(I379-E379-F379+G379+H379,0)</f>
        <v>0</v>
      </c>
      <c r="K379" s="6">
        <f>IFERROR(J379/(E379+F379),0)</f>
        <v>0</v>
      </c>
      <c r="L379" s="6">
        <f>IFERROR(K379-SUMIFS($K$4:K379,$B$4:B379,B379,$C$4:C379,C379,$A$4:A379,EDATE(A379,-1)),K379)</f>
        <v>0</v>
      </c>
      <c r="M379" s="6">
        <f>IFERROR((I379+SUMIFS($G$4:G379,$B$4:B379,B379,$C$4:C379,C379,$A$4:A379,"&lt;="&amp;A379)+SUMIFS($H$4:H379,$B$4:B379,B379,$C$4:C379,C379,$A$4:A379,"&lt;="&amp;A379)-SUMIFS($F$4:F379,$B$4:B379,B379,$C$4:C379,C379,$A$4:A379,"&lt;="&amp;A379))/SUMIFS($F$4:F379,$B$4:B379,B379,$C$4:C379,C379,$A$4:A379,"&lt;="&amp;A379),0)</f>
        <v>0</v>
      </c>
      <c r="N379" s="8"/>
    </row>
    <row r="380" spans="1:14">
      <c r="A380" s="13">
        <v>47088</v>
      </c>
      <c r="B380" t="s">
        <v>41</v>
      </c>
      <c r="C380" t="s">
        <v>19</v>
      </c>
      <c r="D380" t="s">
        <v>42</v>
      </c>
      <c r="E380" s="7"/>
      <c r="F380" s="7"/>
      <c r="G380" s="7"/>
      <c r="H380" s="7"/>
      <c r="I380" s="7"/>
      <c r="J380" s="4">
        <f>IFERROR(I380-E380-F380+G380+H380,0)</f>
        <v>0</v>
      </c>
      <c r="K380" s="6">
        <f>IFERROR(J380/(E380+F380),0)</f>
        <v>0</v>
      </c>
      <c r="L380" s="6">
        <f>IFERROR(K380-SUMIFS($K$4:K380,$B$4:B380,B380,$C$4:C380,C380,$A$4:A380,EDATE(A380,-1)),K380)</f>
        <v>0</v>
      </c>
      <c r="M380" s="6">
        <f>IFERROR((I380+SUMIFS($G$4:G380,$B$4:B380,B380,$C$4:C380,C380,$A$4:A380,"&lt;="&amp;A380)+SUMIFS($H$4:H380,$B$4:B380,B380,$C$4:C380,C380,$A$4:A380,"&lt;="&amp;A380)-SUMIFS($F$4:F380,$B$4:B380,B380,$C$4:C380,C380,$A$4:A380,"&lt;="&amp;A380))/SUMIFS($F$4:F380,$B$4:B380,B380,$C$4:C380,C380,$A$4:A380,"&lt;="&amp;A380),0)</f>
        <v>0</v>
      </c>
      <c r="N380" s="8"/>
    </row>
    <row r="381" spans="1:14">
      <c r="A381" s="13">
        <v>47088</v>
      </c>
      <c r="B381" t="s">
        <v>41</v>
      </c>
      <c r="C381" t="s">
        <v>23</v>
      </c>
      <c r="D381" t="s">
        <v>43</v>
      </c>
      <c r="E381" s="7"/>
      <c r="F381" s="7"/>
      <c r="G381" s="7"/>
      <c r="H381" s="7"/>
      <c r="I381" s="7"/>
      <c r="J381" s="4">
        <f>IFERROR(I381-E381-F381+G381+H381,0)</f>
        <v>0</v>
      </c>
      <c r="K381" s="6">
        <f>IFERROR(J381/(E381+F381),0)</f>
        <v>0</v>
      </c>
      <c r="L381" s="6">
        <f>IFERROR(K381-SUMIFS($K$4:K381,$B$4:B381,B381,$C$4:C381,C381,$A$4:A381,EDATE(A381,-1)),K381)</f>
        <v>0</v>
      </c>
      <c r="M381" s="6">
        <f>IFERROR((I381+SUMIFS($G$4:G381,$B$4:B381,B381,$C$4:C381,C381,$A$4:A381,"&lt;="&amp;A381)+SUMIFS($H$4:H381,$B$4:B381,B381,$C$4:C381,C381,$A$4:A381,"&lt;="&amp;A381)-SUMIFS($F$4:F381,$B$4:B381,B381,$C$4:C381,C381,$A$4:A381,"&lt;="&amp;A381))/SUMIFS($F$4:F381,$B$4:B381,B381,$C$4:C381,C381,$A$4:A381,"&lt;="&amp;A381),0)</f>
        <v>0</v>
      </c>
      <c r="N381" s="8"/>
    </row>
  </sheetData>
  <mergeCells count="1">
    <mergeCell ref="A1:N1"/>
  </mergeCells>
  <conditionalFormatting sqref="K4:M381">
    <cfRule type="cellIs" dxfId="0" priority="1" operator="lessThan">
      <formula>0</formula>
    </cfRule>
  </conditionalFormatting>
  <pageMargins left="0.7" right="0.7" top="0.75" bottom="0.75" header="0.3" footer="0.3"/>
  <headerFooter>
    <oddHeader>&amp;C&amp;"Aptos"&amp;12&amp;K000000 LGE Internal Use Only&amp;1#_x000D_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103"/>
  <sheetViews>
    <sheetView zoomScaleNormal="100" zoomScaleSheetLayoutView="100" workbookViewId="0"/>
  </sheetViews>
  <sheetFormatPr defaultRowHeight="15"/>
  <cols>
    <col min="1" max="1" width="12" customWidth="1"/>
    <col min="2" max="2" width="9" customWidth="1"/>
    <col min="3" max="3" width="17" customWidth="1"/>
    <col min="4" max="4" width="9" customWidth="1"/>
    <col min="5" max="5" width="13" customWidth="1"/>
    <col min="6" max="6" width="22" customWidth="1"/>
    <col min="7" max="7" width="10" customWidth="1"/>
    <col min="8" max="9" width="13" customWidth="1"/>
    <col min="10" max="10" width="12" customWidth="1"/>
    <col min="11" max="12" width="13" customWidth="1"/>
    <col min="13" max="13" width="11" customWidth="1"/>
    <col min="14" max="15" width="12" customWidth="1"/>
    <col min="16" max="16" width="13" customWidth="1"/>
  </cols>
  <sheetData>
    <row r="1" spans="1:16" ht="32.1" customHeight="1">
      <c r="A1" s="20" t="s">
        <v>58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</row>
    <row r="3" spans="1:16">
      <c r="A3" s="2" t="s">
        <v>1</v>
      </c>
      <c r="B3" s="2" t="s">
        <v>2</v>
      </c>
      <c r="C3" s="2" t="s">
        <v>4</v>
      </c>
      <c r="D3" s="2" t="s">
        <v>5</v>
      </c>
      <c r="E3" s="2" t="s">
        <v>59</v>
      </c>
      <c r="F3" s="2" t="s">
        <v>60</v>
      </c>
      <c r="G3" s="2" t="s">
        <v>61</v>
      </c>
      <c r="H3" s="2" t="s">
        <v>62</v>
      </c>
      <c r="I3" s="2" t="s">
        <v>6</v>
      </c>
      <c r="J3" s="2" t="s">
        <v>63</v>
      </c>
      <c r="K3" s="2" t="s">
        <v>47</v>
      </c>
      <c r="L3" s="2" t="s">
        <v>8</v>
      </c>
      <c r="M3" s="2" t="s">
        <v>48</v>
      </c>
      <c r="N3" s="2" t="s">
        <v>64</v>
      </c>
      <c r="O3" s="2" t="s">
        <v>65</v>
      </c>
      <c r="P3" s="2" t="s">
        <v>66</v>
      </c>
    </row>
    <row r="4" spans="1:16">
      <c r="A4" s="8" t="s">
        <v>29</v>
      </c>
      <c r="B4" s="8" t="s">
        <v>19</v>
      </c>
      <c r="C4" s="8" t="s">
        <v>30</v>
      </c>
      <c r="D4" s="8" t="s">
        <v>22</v>
      </c>
      <c r="E4" s="8" t="s">
        <v>67</v>
      </c>
      <c r="F4" s="8" t="s">
        <v>68</v>
      </c>
      <c r="G4" s="15">
        <v>100</v>
      </c>
      <c r="H4" s="17"/>
      <c r="I4" s="14">
        <f>IFERROR(G4*H4,0)</f>
        <v>0</v>
      </c>
      <c r="J4" s="17"/>
      <c r="K4" s="14">
        <f>IFERROR(G4*J4,0)</f>
        <v>0</v>
      </c>
      <c r="L4" s="14">
        <f>IFERROR(K4-I4,0)</f>
        <v>0</v>
      </c>
      <c r="M4" s="6">
        <f>IFERROR(L4/I4,0)</f>
        <v>0</v>
      </c>
      <c r="N4" s="17"/>
      <c r="O4" s="17"/>
      <c r="P4" s="6">
        <f>IFERROR(O4/N4-1,0)</f>
        <v>0</v>
      </c>
    </row>
    <row r="5" spans="1:16">
      <c r="A5" s="8" t="s">
        <v>29</v>
      </c>
      <c r="B5" s="8" t="s">
        <v>19</v>
      </c>
      <c r="C5" s="8" t="s">
        <v>30</v>
      </c>
      <c r="D5" s="8" t="s">
        <v>22</v>
      </c>
      <c r="E5" s="8" t="s">
        <v>69</v>
      </c>
      <c r="F5" s="8" t="s">
        <v>70</v>
      </c>
      <c r="G5" s="15">
        <v>100</v>
      </c>
      <c r="H5" s="17"/>
      <c r="I5" s="14">
        <f>IFERROR(G5*H5,0)</f>
        <v>0</v>
      </c>
      <c r="J5" s="17"/>
      <c r="K5" s="14">
        <f>IFERROR(G5*J5,0)</f>
        <v>0</v>
      </c>
      <c r="L5" s="14">
        <f>IFERROR(K5-I5,0)</f>
        <v>0</v>
      </c>
      <c r="M5" s="6">
        <f>IFERROR(L5/I5,0)</f>
        <v>0</v>
      </c>
      <c r="N5" s="17"/>
      <c r="O5" s="17"/>
      <c r="P5" s="6">
        <f>IFERROR(O5/N5-1,0)</f>
        <v>0</v>
      </c>
    </row>
    <row r="6" spans="1:16">
      <c r="A6" s="8"/>
      <c r="B6" s="8"/>
      <c r="C6" s="8"/>
      <c r="D6" s="8"/>
      <c r="E6" s="8"/>
      <c r="F6" s="8"/>
      <c r="G6" s="15"/>
      <c r="H6" s="15"/>
      <c r="I6" s="14">
        <f>IFERROR(G6*H6,0)</f>
        <v>0</v>
      </c>
      <c r="J6" s="15"/>
      <c r="K6" s="14">
        <f>IFERROR(G6*J6,0)</f>
        <v>0</v>
      </c>
      <c r="L6" s="14">
        <f>IFERROR(K6-I6,0)</f>
        <v>0</v>
      </c>
      <c r="M6" s="6">
        <f>IFERROR(L6/I6,0)</f>
        <v>0</v>
      </c>
      <c r="N6" s="15"/>
      <c r="O6" s="15"/>
      <c r="P6" s="6">
        <f>IFERROR(O6/N6-1,0)</f>
        <v>0</v>
      </c>
    </row>
    <row r="7" spans="1:16">
      <c r="A7" s="8"/>
      <c r="B7" s="8"/>
      <c r="C7" s="8"/>
      <c r="D7" s="8"/>
      <c r="E7" s="8"/>
      <c r="F7" s="8"/>
      <c r="G7" s="15"/>
      <c r="H7" s="15"/>
      <c r="I7" s="14">
        <f>IFERROR(G7*H7,0)</f>
        <v>0</v>
      </c>
      <c r="J7" s="15"/>
      <c r="K7" s="14">
        <f>IFERROR(G7*J7,0)</f>
        <v>0</v>
      </c>
      <c r="L7" s="14">
        <f>IFERROR(K7-I7,0)</f>
        <v>0</v>
      </c>
      <c r="M7" s="6">
        <f>IFERROR(L7/I7,0)</f>
        <v>0</v>
      </c>
      <c r="N7" s="15"/>
      <c r="O7" s="15"/>
      <c r="P7" s="6">
        <f>IFERROR(O7/N7-1,0)</f>
        <v>0</v>
      </c>
    </row>
    <row r="8" spans="1:16">
      <c r="A8" s="8"/>
      <c r="B8" s="8"/>
      <c r="C8" s="8"/>
      <c r="D8" s="8"/>
      <c r="E8" s="8"/>
      <c r="F8" s="8"/>
      <c r="G8" s="15"/>
      <c r="H8" s="15"/>
      <c r="I8" s="14">
        <f>IFERROR(G8*H8,0)</f>
        <v>0</v>
      </c>
      <c r="J8" s="15"/>
      <c r="K8" s="14">
        <f>IFERROR(G8*J8,0)</f>
        <v>0</v>
      </c>
      <c r="L8" s="14">
        <f>IFERROR(K8-I8,0)</f>
        <v>0</v>
      </c>
      <c r="M8" s="6">
        <f>IFERROR(L8/I8,0)</f>
        <v>0</v>
      </c>
      <c r="N8" s="15"/>
      <c r="O8" s="15"/>
      <c r="P8" s="6">
        <f>IFERROR(O8/N8-1,0)</f>
        <v>0</v>
      </c>
    </row>
    <row r="9" spans="1:16">
      <c r="A9" s="8"/>
      <c r="B9" s="8"/>
      <c r="C9" s="8"/>
      <c r="D9" s="8"/>
      <c r="E9" s="8"/>
      <c r="F9" s="8"/>
      <c r="G9" s="15"/>
      <c r="H9" s="15"/>
      <c r="I9" s="14">
        <f>IFERROR(G9*H9,0)</f>
        <v>0</v>
      </c>
      <c r="J9" s="15"/>
      <c r="K9" s="14">
        <f>IFERROR(G9*J9,0)</f>
        <v>0</v>
      </c>
      <c r="L9" s="14">
        <f>IFERROR(K9-I9,0)</f>
        <v>0</v>
      </c>
      <c r="M9" s="6">
        <f>IFERROR(L9/I9,0)</f>
        <v>0</v>
      </c>
      <c r="N9" s="15"/>
      <c r="O9" s="15"/>
      <c r="P9" s="6">
        <f>IFERROR(O9/N9-1,0)</f>
        <v>0</v>
      </c>
    </row>
    <row r="10" spans="1:16">
      <c r="A10" s="8"/>
      <c r="B10" s="8"/>
      <c r="C10" s="8"/>
      <c r="D10" s="8"/>
      <c r="E10" s="8"/>
      <c r="F10" s="8"/>
      <c r="G10" s="15"/>
      <c r="H10" s="15"/>
      <c r="I10" s="14">
        <f>IFERROR(G10*H10,0)</f>
        <v>0</v>
      </c>
      <c r="J10" s="15"/>
      <c r="K10" s="14">
        <f>IFERROR(G10*J10,0)</f>
        <v>0</v>
      </c>
      <c r="L10" s="14">
        <f>IFERROR(K10-I10,0)</f>
        <v>0</v>
      </c>
      <c r="M10" s="6">
        <f>IFERROR(L10/I10,0)</f>
        <v>0</v>
      </c>
      <c r="N10" s="15"/>
      <c r="O10" s="15"/>
      <c r="P10" s="6">
        <f>IFERROR(O10/N10-1,0)</f>
        <v>0</v>
      </c>
    </row>
    <row r="11" spans="1:16">
      <c r="A11" s="8"/>
      <c r="B11" s="8"/>
      <c r="C11" s="8"/>
      <c r="D11" s="8"/>
      <c r="E11" s="8"/>
      <c r="F11" s="8"/>
      <c r="G11" s="15"/>
      <c r="H11" s="15"/>
      <c r="I11" s="14">
        <f>IFERROR(G11*H11,0)</f>
        <v>0</v>
      </c>
      <c r="J11" s="15"/>
      <c r="K11" s="14">
        <f>IFERROR(G11*J11,0)</f>
        <v>0</v>
      </c>
      <c r="L11" s="14">
        <f>IFERROR(K11-I11,0)</f>
        <v>0</v>
      </c>
      <c r="M11" s="6">
        <f>IFERROR(L11/I11,0)</f>
        <v>0</v>
      </c>
      <c r="N11" s="15"/>
      <c r="O11" s="15"/>
      <c r="P11" s="6">
        <f>IFERROR(O11/N11-1,0)</f>
        <v>0</v>
      </c>
    </row>
    <row r="12" spans="1:16">
      <c r="A12" s="8"/>
      <c r="B12" s="8"/>
      <c r="C12" s="8"/>
      <c r="D12" s="8"/>
      <c r="E12" s="8"/>
      <c r="F12" s="8"/>
      <c r="G12" s="15"/>
      <c r="H12" s="15"/>
      <c r="I12" s="14">
        <f>IFERROR(G12*H12,0)</f>
        <v>0</v>
      </c>
      <c r="J12" s="15"/>
      <c r="K12" s="14">
        <f>IFERROR(G12*J12,0)</f>
        <v>0</v>
      </c>
      <c r="L12" s="14">
        <f>IFERROR(K12-I12,0)</f>
        <v>0</v>
      </c>
      <c r="M12" s="6">
        <f>IFERROR(L12/I12,0)</f>
        <v>0</v>
      </c>
      <c r="N12" s="15"/>
      <c r="O12" s="15"/>
      <c r="P12" s="6">
        <f>IFERROR(O12/N12-1,0)</f>
        <v>0</v>
      </c>
    </row>
    <row r="13" spans="1:16">
      <c r="A13" s="8"/>
      <c r="B13" s="8"/>
      <c r="C13" s="8"/>
      <c r="D13" s="8"/>
      <c r="E13" s="8"/>
      <c r="F13" s="8"/>
      <c r="G13" s="15"/>
      <c r="H13" s="15"/>
      <c r="I13" s="14">
        <f>IFERROR(G13*H13,0)</f>
        <v>0</v>
      </c>
      <c r="J13" s="15"/>
      <c r="K13" s="14">
        <f>IFERROR(G13*J13,0)</f>
        <v>0</v>
      </c>
      <c r="L13" s="14">
        <f>IFERROR(K13-I13,0)</f>
        <v>0</v>
      </c>
      <c r="M13" s="6">
        <f>IFERROR(L13/I13,0)</f>
        <v>0</v>
      </c>
      <c r="N13" s="15"/>
      <c r="O13" s="15"/>
      <c r="P13" s="6">
        <f>IFERROR(O13/N13-1,0)</f>
        <v>0</v>
      </c>
    </row>
    <row r="14" spans="1:16">
      <c r="A14" s="8"/>
      <c r="B14" s="8"/>
      <c r="C14" s="8"/>
      <c r="D14" s="8"/>
      <c r="E14" s="8"/>
      <c r="F14" s="8"/>
      <c r="G14" s="15"/>
      <c r="H14" s="15"/>
      <c r="I14" s="14">
        <f>IFERROR(G14*H14,0)</f>
        <v>0</v>
      </c>
      <c r="J14" s="15"/>
      <c r="K14" s="14">
        <f>IFERROR(G14*J14,0)</f>
        <v>0</v>
      </c>
      <c r="L14" s="14">
        <f>IFERROR(K14-I14,0)</f>
        <v>0</v>
      </c>
      <c r="M14" s="6">
        <f>IFERROR(L14/I14,0)</f>
        <v>0</v>
      </c>
      <c r="N14" s="15"/>
      <c r="O14" s="15"/>
      <c r="P14" s="6">
        <f>IFERROR(O14/N14-1,0)</f>
        <v>0</v>
      </c>
    </row>
    <row r="15" spans="1:16">
      <c r="A15" s="8"/>
      <c r="B15" s="8"/>
      <c r="C15" s="8"/>
      <c r="D15" s="8"/>
      <c r="E15" s="8"/>
      <c r="F15" s="8"/>
      <c r="G15" s="15"/>
      <c r="H15" s="15"/>
      <c r="I15" s="14">
        <f>IFERROR(G15*H15,0)</f>
        <v>0</v>
      </c>
      <c r="J15" s="15"/>
      <c r="K15" s="14">
        <f>IFERROR(G15*J15,0)</f>
        <v>0</v>
      </c>
      <c r="L15" s="14">
        <f>IFERROR(K15-I15,0)</f>
        <v>0</v>
      </c>
      <c r="M15" s="6">
        <f>IFERROR(L15/I15,0)</f>
        <v>0</v>
      </c>
      <c r="N15" s="15"/>
      <c r="O15" s="15"/>
      <c r="P15" s="6">
        <f>IFERROR(O15/N15-1,0)</f>
        <v>0</v>
      </c>
    </row>
    <row r="16" spans="1:16">
      <c r="A16" s="8"/>
      <c r="B16" s="8"/>
      <c r="C16" s="8"/>
      <c r="D16" s="8"/>
      <c r="E16" s="8"/>
      <c r="F16" s="8"/>
      <c r="G16" s="15"/>
      <c r="H16" s="15"/>
      <c r="I16" s="14">
        <f>IFERROR(G16*H16,0)</f>
        <v>0</v>
      </c>
      <c r="J16" s="15"/>
      <c r="K16" s="14">
        <f>IFERROR(G16*J16,0)</f>
        <v>0</v>
      </c>
      <c r="L16" s="14">
        <f>IFERROR(K16-I16,0)</f>
        <v>0</v>
      </c>
      <c r="M16" s="6">
        <f>IFERROR(L16/I16,0)</f>
        <v>0</v>
      </c>
      <c r="N16" s="15"/>
      <c r="O16" s="15"/>
      <c r="P16" s="6">
        <f>IFERROR(O16/N16-1,0)</f>
        <v>0</v>
      </c>
    </row>
    <row r="17" spans="1:16">
      <c r="A17" s="8"/>
      <c r="B17" s="8"/>
      <c r="C17" s="8"/>
      <c r="D17" s="8"/>
      <c r="E17" s="8"/>
      <c r="F17" s="8"/>
      <c r="G17" s="15"/>
      <c r="H17" s="15"/>
      <c r="I17" s="14">
        <f>IFERROR(G17*H17,0)</f>
        <v>0</v>
      </c>
      <c r="J17" s="15"/>
      <c r="K17" s="14">
        <f>IFERROR(G17*J17,0)</f>
        <v>0</v>
      </c>
      <c r="L17" s="14">
        <f>IFERROR(K17-I17,0)</f>
        <v>0</v>
      </c>
      <c r="M17" s="6">
        <f>IFERROR(L17/I17,0)</f>
        <v>0</v>
      </c>
      <c r="N17" s="15"/>
      <c r="O17" s="15"/>
      <c r="P17" s="6">
        <f>IFERROR(O17/N17-1,0)</f>
        <v>0</v>
      </c>
    </row>
    <row r="18" spans="1:16">
      <c r="A18" s="8"/>
      <c r="B18" s="8"/>
      <c r="C18" s="8"/>
      <c r="D18" s="8"/>
      <c r="E18" s="8"/>
      <c r="F18" s="8"/>
      <c r="G18" s="15"/>
      <c r="H18" s="15"/>
      <c r="I18" s="14">
        <f>IFERROR(G18*H18,0)</f>
        <v>0</v>
      </c>
      <c r="J18" s="15"/>
      <c r="K18" s="14">
        <f>IFERROR(G18*J18,0)</f>
        <v>0</v>
      </c>
      <c r="L18" s="14">
        <f>IFERROR(K18-I18,0)</f>
        <v>0</v>
      </c>
      <c r="M18" s="6">
        <f>IFERROR(L18/I18,0)</f>
        <v>0</v>
      </c>
      <c r="N18" s="15"/>
      <c r="O18" s="15"/>
      <c r="P18" s="6">
        <f>IFERROR(O18/N18-1,0)</f>
        <v>0</v>
      </c>
    </row>
    <row r="19" spans="1:16">
      <c r="A19" s="8"/>
      <c r="B19" s="8"/>
      <c r="C19" s="8"/>
      <c r="D19" s="8"/>
      <c r="E19" s="8"/>
      <c r="F19" s="8"/>
      <c r="G19" s="15"/>
      <c r="H19" s="15"/>
      <c r="I19" s="14">
        <f>IFERROR(G19*H19,0)</f>
        <v>0</v>
      </c>
      <c r="J19" s="15"/>
      <c r="K19" s="14">
        <f>IFERROR(G19*J19,0)</f>
        <v>0</v>
      </c>
      <c r="L19" s="14">
        <f>IFERROR(K19-I19,0)</f>
        <v>0</v>
      </c>
      <c r="M19" s="6">
        <f>IFERROR(L19/I19,0)</f>
        <v>0</v>
      </c>
      <c r="N19" s="15"/>
      <c r="O19" s="15"/>
      <c r="P19" s="6">
        <f>IFERROR(O19/N19-1,0)</f>
        <v>0</v>
      </c>
    </row>
    <row r="20" spans="1:16">
      <c r="A20" s="8"/>
      <c r="B20" s="8"/>
      <c r="C20" s="8"/>
      <c r="D20" s="8"/>
      <c r="E20" s="8"/>
      <c r="F20" s="8"/>
      <c r="G20" s="15"/>
      <c r="H20" s="15"/>
      <c r="I20" s="14">
        <f>IFERROR(G20*H20,0)</f>
        <v>0</v>
      </c>
      <c r="J20" s="15"/>
      <c r="K20" s="14">
        <f>IFERROR(G20*J20,0)</f>
        <v>0</v>
      </c>
      <c r="L20" s="14">
        <f>IFERROR(K20-I20,0)</f>
        <v>0</v>
      </c>
      <c r="M20" s="6">
        <f>IFERROR(L20/I20,0)</f>
        <v>0</v>
      </c>
      <c r="N20" s="15"/>
      <c r="O20" s="15"/>
      <c r="P20" s="6">
        <f>IFERROR(O20/N20-1,0)</f>
        <v>0</v>
      </c>
    </row>
    <row r="21" spans="1:16">
      <c r="A21" s="8"/>
      <c r="B21" s="8"/>
      <c r="C21" s="8"/>
      <c r="D21" s="8"/>
      <c r="E21" s="8"/>
      <c r="F21" s="8"/>
      <c r="G21" s="15"/>
      <c r="H21" s="15"/>
      <c r="I21" s="14">
        <f>IFERROR(G21*H21,0)</f>
        <v>0</v>
      </c>
      <c r="J21" s="15"/>
      <c r="K21" s="14">
        <f>IFERROR(G21*J21,0)</f>
        <v>0</v>
      </c>
      <c r="L21" s="14">
        <f>IFERROR(K21-I21,0)</f>
        <v>0</v>
      </c>
      <c r="M21" s="6">
        <f>IFERROR(L21/I21,0)</f>
        <v>0</v>
      </c>
      <c r="N21" s="15"/>
      <c r="O21" s="15"/>
      <c r="P21" s="6">
        <f>IFERROR(O21/N21-1,0)</f>
        <v>0</v>
      </c>
    </row>
    <row r="22" spans="1:16">
      <c r="A22" s="8"/>
      <c r="B22" s="8"/>
      <c r="C22" s="8"/>
      <c r="D22" s="8"/>
      <c r="E22" s="8"/>
      <c r="F22" s="8"/>
      <c r="G22" s="15"/>
      <c r="H22" s="15"/>
      <c r="I22" s="14">
        <f>IFERROR(G22*H22,0)</f>
        <v>0</v>
      </c>
      <c r="J22" s="15"/>
      <c r="K22" s="14">
        <f>IFERROR(G22*J22,0)</f>
        <v>0</v>
      </c>
      <c r="L22" s="14">
        <f>IFERROR(K22-I22,0)</f>
        <v>0</v>
      </c>
      <c r="M22" s="6">
        <f>IFERROR(L22/I22,0)</f>
        <v>0</v>
      </c>
      <c r="N22" s="15"/>
      <c r="O22" s="15"/>
      <c r="P22" s="6">
        <f>IFERROR(O22/N22-1,0)</f>
        <v>0</v>
      </c>
    </row>
    <row r="23" spans="1:16">
      <c r="A23" s="8"/>
      <c r="B23" s="8"/>
      <c r="C23" s="8"/>
      <c r="D23" s="8"/>
      <c r="E23" s="8"/>
      <c r="F23" s="8"/>
      <c r="G23" s="15"/>
      <c r="H23" s="15"/>
      <c r="I23" s="14">
        <f>IFERROR(G23*H23,0)</f>
        <v>0</v>
      </c>
      <c r="J23" s="15"/>
      <c r="K23" s="14">
        <f>IFERROR(G23*J23,0)</f>
        <v>0</v>
      </c>
      <c r="L23" s="14">
        <f>IFERROR(K23-I23,0)</f>
        <v>0</v>
      </c>
      <c r="M23" s="6">
        <f>IFERROR(L23/I23,0)</f>
        <v>0</v>
      </c>
      <c r="N23" s="15"/>
      <c r="O23" s="15"/>
      <c r="P23" s="6">
        <f>IFERROR(O23/N23-1,0)</f>
        <v>0</v>
      </c>
    </row>
    <row r="24" spans="1:16">
      <c r="A24" s="8"/>
      <c r="B24" s="8"/>
      <c r="C24" s="8"/>
      <c r="D24" s="8"/>
      <c r="E24" s="8"/>
      <c r="F24" s="8"/>
      <c r="G24" s="15"/>
      <c r="H24" s="15"/>
      <c r="I24" s="14">
        <f>IFERROR(G24*H24,0)</f>
        <v>0</v>
      </c>
      <c r="J24" s="15"/>
      <c r="K24" s="14">
        <f>IFERROR(G24*J24,0)</f>
        <v>0</v>
      </c>
      <c r="L24" s="14">
        <f>IFERROR(K24-I24,0)</f>
        <v>0</v>
      </c>
      <c r="M24" s="6">
        <f>IFERROR(L24/I24,0)</f>
        <v>0</v>
      </c>
      <c r="N24" s="15"/>
      <c r="O24" s="15"/>
      <c r="P24" s="6">
        <f>IFERROR(O24/N24-1,0)</f>
        <v>0</v>
      </c>
    </row>
    <row r="25" spans="1:16">
      <c r="A25" s="8"/>
      <c r="B25" s="8"/>
      <c r="C25" s="8"/>
      <c r="D25" s="8"/>
      <c r="E25" s="8"/>
      <c r="F25" s="8"/>
      <c r="G25" s="15"/>
      <c r="H25" s="15"/>
      <c r="I25" s="14">
        <f>IFERROR(G25*H25,0)</f>
        <v>0</v>
      </c>
      <c r="J25" s="15"/>
      <c r="K25" s="14">
        <f>IFERROR(G25*J25,0)</f>
        <v>0</v>
      </c>
      <c r="L25" s="14">
        <f>IFERROR(K25-I25,0)</f>
        <v>0</v>
      </c>
      <c r="M25" s="6">
        <f>IFERROR(L25/I25,0)</f>
        <v>0</v>
      </c>
      <c r="N25" s="15"/>
      <c r="O25" s="15"/>
      <c r="P25" s="6">
        <f>IFERROR(O25/N25-1,0)</f>
        <v>0</v>
      </c>
    </row>
    <row r="26" spans="1:16">
      <c r="A26" s="8"/>
      <c r="B26" s="8"/>
      <c r="C26" s="8"/>
      <c r="D26" s="8"/>
      <c r="E26" s="8"/>
      <c r="F26" s="8"/>
      <c r="G26" s="15"/>
      <c r="H26" s="15"/>
      <c r="I26" s="14">
        <f>IFERROR(G26*H26,0)</f>
        <v>0</v>
      </c>
      <c r="J26" s="15"/>
      <c r="K26" s="14">
        <f>IFERROR(G26*J26,0)</f>
        <v>0</v>
      </c>
      <c r="L26" s="14">
        <f>IFERROR(K26-I26,0)</f>
        <v>0</v>
      </c>
      <c r="M26" s="6">
        <f>IFERROR(L26/I26,0)</f>
        <v>0</v>
      </c>
      <c r="N26" s="15"/>
      <c r="O26" s="15"/>
      <c r="P26" s="6">
        <f>IFERROR(O26/N26-1,0)</f>
        <v>0</v>
      </c>
    </row>
    <row r="27" spans="1:16">
      <c r="A27" s="8"/>
      <c r="B27" s="8"/>
      <c r="C27" s="8"/>
      <c r="D27" s="8"/>
      <c r="E27" s="8"/>
      <c r="F27" s="8"/>
      <c r="G27" s="15"/>
      <c r="H27" s="15"/>
      <c r="I27" s="14">
        <f>IFERROR(G27*H27,0)</f>
        <v>0</v>
      </c>
      <c r="J27" s="15"/>
      <c r="K27" s="14">
        <f>IFERROR(G27*J27,0)</f>
        <v>0</v>
      </c>
      <c r="L27" s="14">
        <f>IFERROR(K27-I27,0)</f>
        <v>0</v>
      </c>
      <c r="M27" s="6">
        <f>IFERROR(L27/I27,0)</f>
        <v>0</v>
      </c>
      <c r="N27" s="15"/>
      <c r="O27" s="15"/>
      <c r="P27" s="6">
        <f>IFERROR(O27/N27-1,0)</f>
        <v>0</v>
      </c>
    </row>
    <row r="28" spans="1:16">
      <c r="A28" s="8"/>
      <c r="B28" s="8"/>
      <c r="C28" s="8"/>
      <c r="D28" s="8"/>
      <c r="E28" s="8"/>
      <c r="F28" s="8"/>
      <c r="G28" s="15"/>
      <c r="H28" s="15"/>
      <c r="I28" s="14">
        <f>IFERROR(G28*H28,0)</f>
        <v>0</v>
      </c>
      <c r="J28" s="15"/>
      <c r="K28" s="14">
        <f>IFERROR(G28*J28,0)</f>
        <v>0</v>
      </c>
      <c r="L28" s="14">
        <f>IFERROR(K28-I28,0)</f>
        <v>0</v>
      </c>
      <c r="M28" s="6">
        <f>IFERROR(L28/I28,0)</f>
        <v>0</v>
      </c>
      <c r="N28" s="15"/>
      <c r="O28" s="15"/>
      <c r="P28" s="6">
        <f>IFERROR(O28/N28-1,0)</f>
        <v>0</v>
      </c>
    </row>
    <row r="29" spans="1:16">
      <c r="A29" s="8"/>
      <c r="B29" s="8"/>
      <c r="C29" s="8"/>
      <c r="D29" s="8"/>
      <c r="E29" s="8"/>
      <c r="F29" s="8"/>
      <c r="G29" s="15"/>
      <c r="H29" s="15"/>
      <c r="I29" s="14">
        <f>IFERROR(G29*H29,0)</f>
        <v>0</v>
      </c>
      <c r="J29" s="15"/>
      <c r="K29" s="14">
        <f>IFERROR(G29*J29,0)</f>
        <v>0</v>
      </c>
      <c r="L29" s="14">
        <f>IFERROR(K29-I29,0)</f>
        <v>0</v>
      </c>
      <c r="M29" s="6">
        <f>IFERROR(L29/I29,0)</f>
        <v>0</v>
      </c>
      <c r="N29" s="15"/>
      <c r="O29" s="15"/>
      <c r="P29" s="6">
        <f>IFERROR(O29/N29-1,0)</f>
        <v>0</v>
      </c>
    </row>
    <row r="30" spans="1:16">
      <c r="A30" s="8"/>
      <c r="B30" s="8"/>
      <c r="C30" s="8"/>
      <c r="D30" s="8"/>
      <c r="E30" s="8"/>
      <c r="F30" s="8"/>
      <c r="G30" s="15"/>
      <c r="H30" s="15"/>
      <c r="I30" s="14">
        <f>IFERROR(G30*H30,0)</f>
        <v>0</v>
      </c>
      <c r="J30" s="15"/>
      <c r="K30" s="14">
        <f>IFERROR(G30*J30,0)</f>
        <v>0</v>
      </c>
      <c r="L30" s="14">
        <f>IFERROR(K30-I30,0)</f>
        <v>0</v>
      </c>
      <c r="M30" s="6">
        <f>IFERROR(L30/I30,0)</f>
        <v>0</v>
      </c>
      <c r="N30" s="15"/>
      <c r="O30" s="15"/>
      <c r="P30" s="6">
        <f>IFERROR(O30/N30-1,0)</f>
        <v>0</v>
      </c>
    </row>
    <row r="31" spans="1:16">
      <c r="A31" s="8"/>
      <c r="B31" s="8"/>
      <c r="C31" s="8"/>
      <c r="D31" s="8"/>
      <c r="E31" s="8"/>
      <c r="F31" s="8"/>
      <c r="G31" s="15"/>
      <c r="H31" s="15"/>
      <c r="I31" s="14">
        <f>IFERROR(G31*H31,0)</f>
        <v>0</v>
      </c>
      <c r="J31" s="15"/>
      <c r="K31" s="14">
        <f>IFERROR(G31*J31,0)</f>
        <v>0</v>
      </c>
      <c r="L31" s="14">
        <f>IFERROR(K31-I31,0)</f>
        <v>0</v>
      </c>
      <c r="M31" s="6">
        <f>IFERROR(L31/I31,0)</f>
        <v>0</v>
      </c>
      <c r="N31" s="15"/>
      <c r="O31" s="15"/>
      <c r="P31" s="6">
        <f>IFERROR(O31/N31-1,0)</f>
        <v>0</v>
      </c>
    </row>
    <row r="32" spans="1:16">
      <c r="A32" s="8"/>
      <c r="B32" s="8"/>
      <c r="C32" s="8"/>
      <c r="D32" s="8"/>
      <c r="E32" s="8"/>
      <c r="F32" s="8"/>
      <c r="G32" s="15"/>
      <c r="H32" s="15"/>
      <c r="I32" s="14">
        <f>IFERROR(G32*H32,0)</f>
        <v>0</v>
      </c>
      <c r="J32" s="15"/>
      <c r="K32" s="14">
        <f>IFERROR(G32*J32,0)</f>
        <v>0</v>
      </c>
      <c r="L32" s="14">
        <f>IFERROR(K32-I32,0)</f>
        <v>0</v>
      </c>
      <c r="M32" s="6">
        <f>IFERROR(L32/I32,0)</f>
        <v>0</v>
      </c>
      <c r="N32" s="15"/>
      <c r="O32" s="15"/>
      <c r="P32" s="6">
        <f>IFERROR(O32/N32-1,0)</f>
        <v>0</v>
      </c>
    </row>
    <row r="33" spans="1:16">
      <c r="A33" s="8"/>
      <c r="B33" s="8"/>
      <c r="C33" s="8"/>
      <c r="D33" s="8"/>
      <c r="E33" s="8"/>
      <c r="F33" s="8"/>
      <c r="G33" s="15"/>
      <c r="H33" s="15"/>
      <c r="I33" s="14">
        <f>IFERROR(G33*H33,0)</f>
        <v>0</v>
      </c>
      <c r="J33" s="15"/>
      <c r="K33" s="14">
        <f>IFERROR(G33*J33,0)</f>
        <v>0</v>
      </c>
      <c r="L33" s="14">
        <f>IFERROR(K33-I33,0)</f>
        <v>0</v>
      </c>
      <c r="M33" s="6">
        <f>IFERROR(L33/I33,0)</f>
        <v>0</v>
      </c>
      <c r="N33" s="15"/>
      <c r="O33" s="15"/>
      <c r="P33" s="6">
        <f>IFERROR(O33/N33-1,0)</f>
        <v>0</v>
      </c>
    </row>
    <row r="34" spans="1:16">
      <c r="A34" s="8"/>
      <c r="B34" s="8"/>
      <c r="C34" s="8"/>
      <c r="D34" s="8"/>
      <c r="E34" s="8"/>
      <c r="F34" s="8"/>
      <c r="G34" s="15"/>
      <c r="H34" s="15"/>
      <c r="I34" s="14">
        <f>IFERROR(G34*H34,0)</f>
        <v>0</v>
      </c>
      <c r="J34" s="15"/>
      <c r="K34" s="14">
        <f>IFERROR(G34*J34,0)</f>
        <v>0</v>
      </c>
      <c r="L34" s="14">
        <f>IFERROR(K34-I34,0)</f>
        <v>0</v>
      </c>
      <c r="M34" s="6">
        <f>IFERROR(L34/I34,0)</f>
        <v>0</v>
      </c>
      <c r="N34" s="15"/>
      <c r="O34" s="15"/>
      <c r="P34" s="6">
        <f>IFERROR(O34/N34-1,0)</f>
        <v>0</v>
      </c>
    </row>
    <row r="35" spans="1:16">
      <c r="A35" s="8"/>
      <c r="B35" s="8"/>
      <c r="C35" s="8"/>
      <c r="D35" s="8"/>
      <c r="E35" s="8"/>
      <c r="F35" s="8"/>
      <c r="G35" s="15"/>
      <c r="H35" s="15"/>
      <c r="I35" s="14">
        <f>IFERROR(G35*H35,0)</f>
        <v>0</v>
      </c>
      <c r="J35" s="15"/>
      <c r="K35" s="14">
        <f>IFERROR(G35*J35,0)</f>
        <v>0</v>
      </c>
      <c r="L35" s="14">
        <f>IFERROR(K35-I35,0)</f>
        <v>0</v>
      </c>
      <c r="M35" s="6">
        <f>IFERROR(L35/I35,0)</f>
        <v>0</v>
      </c>
      <c r="N35" s="15"/>
      <c r="O35" s="15"/>
      <c r="P35" s="6">
        <f>IFERROR(O35/N35-1,0)</f>
        <v>0</v>
      </c>
    </row>
    <row r="36" spans="1:16">
      <c r="A36" s="8"/>
      <c r="B36" s="8"/>
      <c r="C36" s="8"/>
      <c r="D36" s="8"/>
      <c r="E36" s="8"/>
      <c r="F36" s="8"/>
      <c r="G36" s="15"/>
      <c r="H36" s="15"/>
      <c r="I36" s="14">
        <f>IFERROR(G36*H36,0)</f>
        <v>0</v>
      </c>
      <c r="J36" s="15"/>
      <c r="K36" s="14">
        <f>IFERROR(G36*J36,0)</f>
        <v>0</v>
      </c>
      <c r="L36" s="14">
        <f>IFERROR(K36-I36,0)</f>
        <v>0</v>
      </c>
      <c r="M36" s="6">
        <f>IFERROR(L36/I36,0)</f>
        <v>0</v>
      </c>
      <c r="N36" s="15"/>
      <c r="O36" s="15"/>
      <c r="P36" s="6">
        <f>IFERROR(O36/N36-1,0)</f>
        <v>0</v>
      </c>
    </row>
    <row r="37" spans="1:16">
      <c r="A37" s="8"/>
      <c r="B37" s="8"/>
      <c r="C37" s="8"/>
      <c r="D37" s="8"/>
      <c r="E37" s="8"/>
      <c r="F37" s="8"/>
      <c r="G37" s="15"/>
      <c r="H37" s="15"/>
      <c r="I37" s="14">
        <f>IFERROR(G37*H37,0)</f>
        <v>0</v>
      </c>
      <c r="J37" s="15"/>
      <c r="K37" s="14">
        <f>IFERROR(G37*J37,0)</f>
        <v>0</v>
      </c>
      <c r="L37" s="14">
        <f>IFERROR(K37-I37,0)</f>
        <v>0</v>
      </c>
      <c r="M37" s="6">
        <f>IFERROR(L37/I37,0)</f>
        <v>0</v>
      </c>
      <c r="N37" s="15"/>
      <c r="O37" s="15"/>
      <c r="P37" s="6">
        <f>IFERROR(O37/N37-1,0)</f>
        <v>0</v>
      </c>
    </row>
    <row r="38" spans="1:16">
      <c r="A38" s="8"/>
      <c r="B38" s="8"/>
      <c r="C38" s="8"/>
      <c r="D38" s="8"/>
      <c r="E38" s="8"/>
      <c r="F38" s="8"/>
      <c r="G38" s="15"/>
      <c r="H38" s="15"/>
      <c r="I38" s="14">
        <f>IFERROR(G38*H38,0)</f>
        <v>0</v>
      </c>
      <c r="J38" s="15"/>
      <c r="K38" s="14">
        <f>IFERROR(G38*J38,0)</f>
        <v>0</v>
      </c>
      <c r="L38" s="14">
        <f>IFERROR(K38-I38,0)</f>
        <v>0</v>
      </c>
      <c r="M38" s="6">
        <f>IFERROR(L38/I38,0)</f>
        <v>0</v>
      </c>
      <c r="N38" s="15"/>
      <c r="O38" s="15"/>
      <c r="P38" s="6">
        <f>IFERROR(O38/N38-1,0)</f>
        <v>0</v>
      </c>
    </row>
    <row r="39" spans="1:16">
      <c r="A39" s="8"/>
      <c r="B39" s="8"/>
      <c r="C39" s="8"/>
      <c r="D39" s="8"/>
      <c r="E39" s="8"/>
      <c r="F39" s="8"/>
      <c r="G39" s="15"/>
      <c r="H39" s="15"/>
      <c r="I39" s="14">
        <f>IFERROR(G39*H39,0)</f>
        <v>0</v>
      </c>
      <c r="J39" s="15"/>
      <c r="K39" s="14">
        <f>IFERROR(G39*J39,0)</f>
        <v>0</v>
      </c>
      <c r="L39" s="14">
        <f>IFERROR(K39-I39,0)</f>
        <v>0</v>
      </c>
      <c r="M39" s="6">
        <f>IFERROR(L39/I39,0)</f>
        <v>0</v>
      </c>
      <c r="N39" s="15"/>
      <c r="O39" s="15"/>
      <c r="P39" s="6">
        <f>IFERROR(O39/N39-1,0)</f>
        <v>0</v>
      </c>
    </row>
    <row r="40" spans="1:16">
      <c r="A40" s="8"/>
      <c r="B40" s="8"/>
      <c r="C40" s="8"/>
      <c r="D40" s="8"/>
      <c r="E40" s="8"/>
      <c r="F40" s="8"/>
      <c r="G40" s="15"/>
      <c r="H40" s="15"/>
      <c r="I40" s="14">
        <f>IFERROR(G40*H40,0)</f>
        <v>0</v>
      </c>
      <c r="J40" s="15"/>
      <c r="K40" s="14">
        <f>IFERROR(G40*J40,0)</f>
        <v>0</v>
      </c>
      <c r="L40" s="14">
        <f>IFERROR(K40-I40,0)</f>
        <v>0</v>
      </c>
      <c r="M40" s="6">
        <f>IFERROR(L40/I40,0)</f>
        <v>0</v>
      </c>
      <c r="N40" s="15"/>
      <c r="O40" s="15"/>
      <c r="P40" s="6">
        <f>IFERROR(O40/N40-1,0)</f>
        <v>0</v>
      </c>
    </row>
    <row r="41" spans="1:16">
      <c r="A41" s="8"/>
      <c r="B41" s="8"/>
      <c r="C41" s="8"/>
      <c r="D41" s="8"/>
      <c r="E41" s="8"/>
      <c r="F41" s="8"/>
      <c r="G41" s="15"/>
      <c r="H41" s="15"/>
      <c r="I41" s="14">
        <f>IFERROR(G41*H41,0)</f>
        <v>0</v>
      </c>
      <c r="J41" s="15"/>
      <c r="K41" s="14">
        <f>IFERROR(G41*J41,0)</f>
        <v>0</v>
      </c>
      <c r="L41" s="14">
        <f>IFERROR(K41-I41,0)</f>
        <v>0</v>
      </c>
      <c r="M41" s="6">
        <f>IFERROR(L41/I41,0)</f>
        <v>0</v>
      </c>
      <c r="N41" s="15"/>
      <c r="O41" s="15"/>
      <c r="P41" s="6">
        <f>IFERROR(O41/N41-1,0)</f>
        <v>0</v>
      </c>
    </row>
    <row r="42" spans="1:16">
      <c r="A42" s="8"/>
      <c r="B42" s="8"/>
      <c r="C42" s="8"/>
      <c r="D42" s="8"/>
      <c r="E42" s="8"/>
      <c r="F42" s="8"/>
      <c r="G42" s="15"/>
      <c r="H42" s="15"/>
      <c r="I42" s="14">
        <f>IFERROR(G42*H42,0)</f>
        <v>0</v>
      </c>
      <c r="J42" s="15"/>
      <c r="K42" s="14">
        <f>IFERROR(G42*J42,0)</f>
        <v>0</v>
      </c>
      <c r="L42" s="14">
        <f>IFERROR(K42-I42,0)</f>
        <v>0</v>
      </c>
      <c r="M42" s="6">
        <f>IFERROR(L42/I42,0)</f>
        <v>0</v>
      </c>
      <c r="N42" s="15"/>
      <c r="O42" s="15"/>
      <c r="P42" s="6">
        <f>IFERROR(O42/N42-1,0)</f>
        <v>0</v>
      </c>
    </row>
    <row r="43" spans="1:16">
      <c r="A43" s="8"/>
      <c r="B43" s="8"/>
      <c r="C43" s="8"/>
      <c r="D43" s="8"/>
      <c r="E43" s="8"/>
      <c r="F43" s="8"/>
      <c r="G43" s="15"/>
      <c r="H43" s="15"/>
      <c r="I43" s="14">
        <f>IFERROR(G43*H43,0)</f>
        <v>0</v>
      </c>
      <c r="J43" s="15"/>
      <c r="K43" s="14">
        <f>IFERROR(G43*J43,0)</f>
        <v>0</v>
      </c>
      <c r="L43" s="14">
        <f>IFERROR(K43-I43,0)</f>
        <v>0</v>
      </c>
      <c r="M43" s="6">
        <f>IFERROR(L43/I43,0)</f>
        <v>0</v>
      </c>
      <c r="N43" s="15"/>
      <c r="O43" s="15"/>
      <c r="P43" s="6">
        <f>IFERROR(O43/N43-1,0)</f>
        <v>0</v>
      </c>
    </row>
    <row r="44" spans="1:16">
      <c r="A44" s="8"/>
      <c r="B44" s="8"/>
      <c r="C44" s="8"/>
      <c r="D44" s="8"/>
      <c r="E44" s="8"/>
      <c r="F44" s="8"/>
      <c r="G44" s="15"/>
      <c r="H44" s="15"/>
      <c r="I44" s="14">
        <f>IFERROR(G44*H44,0)</f>
        <v>0</v>
      </c>
      <c r="J44" s="15"/>
      <c r="K44" s="14">
        <f>IFERROR(G44*J44,0)</f>
        <v>0</v>
      </c>
      <c r="L44" s="14">
        <f>IFERROR(K44-I44,0)</f>
        <v>0</v>
      </c>
      <c r="M44" s="6">
        <f>IFERROR(L44/I44,0)</f>
        <v>0</v>
      </c>
      <c r="N44" s="15"/>
      <c r="O44" s="15"/>
      <c r="P44" s="6">
        <f>IFERROR(O44/N44-1,0)</f>
        <v>0</v>
      </c>
    </row>
    <row r="45" spans="1:16">
      <c r="A45" s="8"/>
      <c r="B45" s="8"/>
      <c r="C45" s="8"/>
      <c r="D45" s="8"/>
      <c r="E45" s="8"/>
      <c r="F45" s="8"/>
      <c r="G45" s="15"/>
      <c r="H45" s="15"/>
      <c r="I45" s="14">
        <f>IFERROR(G45*H45,0)</f>
        <v>0</v>
      </c>
      <c r="J45" s="15"/>
      <c r="K45" s="14">
        <f>IFERROR(G45*J45,0)</f>
        <v>0</v>
      </c>
      <c r="L45" s="14">
        <f>IFERROR(K45-I45,0)</f>
        <v>0</v>
      </c>
      <c r="M45" s="6">
        <f>IFERROR(L45/I45,0)</f>
        <v>0</v>
      </c>
      <c r="N45" s="15"/>
      <c r="O45" s="15"/>
      <c r="P45" s="6">
        <f>IFERROR(O45/N45-1,0)</f>
        <v>0</v>
      </c>
    </row>
    <row r="46" spans="1:16">
      <c r="A46" s="8"/>
      <c r="B46" s="8"/>
      <c r="C46" s="8"/>
      <c r="D46" s="8"/>
      <c r="E46" s="8"/>
      <c r="F46" s="8"/>
      <c r="G46" s="15"/>
      <c r="H46" s="15"/>
      <c r="I46" s="14">
        <f>IFERROR(G46*H46,0)</f>
        <v>0</v>
      </c>
      <c r="J46" s="15"/>
      <c r="K46" s="14">
        <f>IFERROR(G46*J46,0)</f>
        <v>0</v>
      </c>
      <c r="L46" s="14">
        <f>IFERROR(K46-I46,0)</f>
        <v>0</v>
      </c>
      <c r="M46" s="6">
        <f>IFERROR(L46/I46,0)</f>
        <v>0</v>
      </c>
      <c r="N46" s="15"/>
      <c r="O46" s="15"/>
      <c r="P46" s="6">
        <f>IFERROR(O46/N46-1,0)</f>
        <v>0</v>
      </c>
    </row>
    <row r="47" spans="1:16">
      <c r="A47" s="8"/>
      <c r="B47" s="8"/>
      <c r="C47" s="8"/>
      <c r="D47" s="8"/>
      <c r="E47" s="8"/>
      <c r="F47" s="8"/>
      <c r="G47" s="15"/>
      <c r="H47" s="15"/>
      <c r="I47" s="14">
        <f>IFERROR(G47*H47,0)</f>
        <v>0</v>
      </c>
      <c r="J47" s="15"/>
      <c r="K47" s="14">
        <f>IFERROR(G47*J47,0)</f>
        <v>0</v>
      </c>
      <c r="L47" s="14">
        <f>IFERROR(K47-I47,0)</f>
        <v>0</v>
      </c>
      <c r="M47" s="6">
        <f>IFERROR(L47/I47,0)</f>
        <v>0</v>
      </c>
      <c r="N47" s="15"/>
      <c r="O47" s="15"/>
      <c r="P47" s="6">
        <f>IFERROR(O47/N47-1,0)</f>
        <v>0</v>
      </c>
    </row>
    <row r="48" spans="1:16">
      <c r="A48" s="8"/>
      <c r="B48" s="8"/>
      <c r="C48" s="8"/>
      <c r="D48" s="8"/>
      <c r="E48" s="8"/>
      <c r="F48" s="8"/>
      <c r="G48" s="15"/>
      <c r="H48" s="15"/>
      <c r="I48" s="14">
        <f>IFERROR(G48*H48,0)</f>
        <v>0</v>
      </c>
      <c r="J48" s="15"/>
      <c r="K48" s="14">
        <f>IFERROR(G48*J48,0)</f>
        <v>0</v>
      </c>
      <c r="L48" s="14">
        <f>IFERROR(K48-I48,0)</f>
        <v>0</v>
      </c>
      <c r="M48" s="6">
        <f>IFERROR(L48/I48,0)</f>
        <v>0</v>
      </c>
      <c r="N48" s="15"/>
      <c r="O48" s="15"/>
      <c r="P48" s="6">
        <f>IFERROR(O48/N48-1,0)</f>
        <v>0</v>
      </c>
    </row>
    <row r="49" spans="1:16">
      <c r="A49" s="8"/>
      <c r="B49" s="8"/>
      <c r="C49" s="8"/>
      <c r="D49" s="8"/>
      <c r="E49" s="8"/>
      <c r="F49" s="8"/>
      <c r="G49" s="15"/>
      <c r="H49" s="15"/>
      <c r="I49" s="14">
        <f>IFERROR(G49*H49,0)</f>
        <v>0</v>
      </c>
      <c r="J49" s="15"/>
      <c r="K49" s="14">
        <f>IFERROR(G49*J49,0)</f>
        <v>0</v>
      </c>
      <c r="L49" s="14">
        <f>IFERROR(K49-I49,0)</f>
        <v>0</v>
      </c>
      <c r="M49" s="6">
        <f>IFERROR(L49/I49,0)</f>
        <v>0</v>
      </c>
      <c r="N49" s="15"/>
      <c r="O49" s="15"/>
      <c r="P49" s="6">
        <f>IFERROR(O49/N49-1,0)</f>
        <v>0</v>
      </c>
    </row>
    <row r="50" spans="1:16">
      <c r="A50" s="8"/>
      <c r="B50" s="8"/>
      <c r="C50" s="8"/>
      <c r="D50" s="8"/>
      <c r="E50" s="8"/>
      <c r="F50" s="8"/>
      <c r="G50" s="15"/>
      <c r="H50" s="15"/>
      <c r="I50" s="14">
        <f>IFERROR(G50*H50,0)</f>
        <v>0</v>
      </c>
      <c r="J50" s="15"/>
      <c r="K50" s="14">
        <f>IFERROR(G50*J50,0)</f>
        <v>0</v>
      </c>
      <c r="L50" s="14">
        <f>IFERROR(K50-I50,0)</f>
        <v>0</v>
      </c>
      <c r="M50" s="6">
        <f>IFERROR(L50/I50,0)</f>
        <v>0</v>
      </c>
      <c r="N50" s="15"/>
      <c r="O50" s="15"/>
      <c r="P50" s="6">
        <f>IFERROR(O50/N50-1,0)</f>
        <v>0</v>
      </c>
    </row>
    <row r="51" spans="1:16">
      <c r="A51" s="8"/>
      <c r="B51" s="8"/>
      <c r="C51" s="8"/>
      <c r="D51" s="8"/>
      <c r="E51" s="8"/>
      <c r="F51" s="8"/>
      <c r="G51" s="15"/>
      <c r="H51" s="15"/>
      <c r="I51" s="14">
        <f>IFERROR(G51*H51,0)</f>
        <v>0</v>
      </c>
      <c r="J51" s="15"/>
      <c r="K51" s="14">
        <f>IFERROR(G51*J51,0)</f>
        <v>0</v>
      </c>
      <c r="L51" s="14">
        <f>IFERROR(K51-I51,0)</f>
        <v>0</v>
      </c>
      <c r="M51" s="6">
        <f>IFERROR(L51/I51,0)</f>
        <v>0</v>
      </c>
      <c r="N51" s="15"/>
      <c r="O51" s="15"/>
      <c r="P51" s="6">
        <f>IFERROR(O51/N51-1,0)</f>
        <v>0</v>
      </c>
    </row>
    <row r="52" spans="1:16">
      <c r="A52" s="8"/>
      <c r="B52" s="8"/>
      <c r="C52" s="8"/>
      <c r="D52" s="8"/>
      <c r="E52" s="8"/>
      <c r="F52" s="8"/>
      <c r="G52" s="15"/>
      <c r="H52" s="15"/>
      <c r="I52" s="14">
        <f>IFERROR(G52*H52,0)</f>
        <v>0</v>
      </c>
      <c r="J52" s="15"/>
      <c r="K52" s="14">
        <f>IFERROR(G52*J52,0)</f>
        <v>0</v>
      </c>
      <c r="L52" s="14">
        <f>IFERROR(K52-I52,0)</f>
        <v>0</v>
      </c>
      <c r="M52" s="6">
        <f>IFERROR(L52/I52,0)</f>
        <v>0</v>
      </c>
      <c r="N52" s="15"/>
      <c r="O52" s="15"/>
      <c r="P52" s="6">
        <f>IFERROR(O52/N52-1,0)</f>
        <v>0</v>
      </c>
    </row>
    <row r="53" spans="1:16">
      <c r="A53" s="8"/>
      <c r="B53" s="8"/>
      <c r="C53" s="8"/>
      <c r="D53" s="8"/>
      <c r="E53" s="8"/>
      <c r="F53" s="8"/>
      <c r="G53" s="15"/>
      <c r="H53" s="15"/>
      <c r="I53" s="14">
        <f>IFERROR(G53*H53,0)</f>
        <v>0</v>
      </c>
      <c r="J53" s="15"/>
      <c r="K53" s="14">
        <f>IFERROR(G53*J53,0)</f>
        <v>0</v>
      </c>
      <c r="L53" s="14">
        <f>IFERROR(K53-I53,0)</f>
        <v>0</v>
      </c>
      <c r="M53" s="6">
        <f>IFERROR(L53/I53,0)</f>
        <v>0</v>
      </c>
      <c r="N53" s="15"/>
      <c r="O53" s="15"/>
      <c r="P53" s="6">
        <f>IFERROR(O53/N53-1,0)</f>
        <v>0</v>
      </c>
    </row>
    <row r="54" spans="1:16">
      <c r="A54" s="8"/>
      <c r="B54" s="8"/>
      <c r="C54" s="8"/>
      <c r="D54" s="8"/>
      <c r="E54" s="8"/>
      <c r="F54" s="8"/>
      <c r="G54" s="15"/>
      <c r="H54" s="15"/>
      <c r="I54" s="14">
        <f>IFERROR(G54*H54,0)</f>
        <v>0</v>
      </c>
      <c r="J54" s="15"/>
      <c r="K54" s="14">
        <f>IFERROR(G54*J54,0)</f>
        <v>0</v>
      </c>
      <c r="L54" s="14">
        <f>IFERROR(K54-I54,0)</f>
        <v>0</v>
      </c>
      <c r="M54" s="6">
        <f>IFERROR(L54/I54,0)</f>
        <v>0</v>
      </c>
      <c r="N54" s="15"/>
      <c r="O54" s="15"/>
      <c r="P54" s="6">
        <f>IFERROR(O54/N54-1,0)</f>
        <v>0</v>
      </c>
    </row>
    <row r="55" spans="1:16">
      <c r="A55" s="8"/>
      <c r="B55" s="8"/>
      <c r="C55" s="8"/>
      <c r="D55" s="8"/>
      <c r="E55" s="8"/>
      <c r="F55" s="8"/>
      <c r="G55" s="15"/>
      <c r="H55" s="15"/>
      <c r="I55" s="14">
        <f>IFERROR(G55*H55,0)</f>
        <v>0</v>
      </c>
      <c r="J55" s="15"/>
      <c r="K55" s="14">
        <f>IFERROR(G55*J55,0)</f>
        <v>0</v>
      </c>
      <c r="L55" s="14">
        <f>IFERROR(K55-I55,0)</f>
        <v>0</v>
      </c>
      <c r="M55" s="6">
        <f>IFERROR(L55/I55,0)</f>
        <v>0</v>
      </c>
      <c r="N55" s="15"/>
      <c r="O55" s="15"/>
      <c r="P55" s="6">
        <f>IFERROR(O55/N55-1,0)</f>
        <v>0</v>
      </c>
    </row>
    <row r="56" spans="1:16">
      <c r="A56" s="8"/>
      <c r="B56" s="8"/>
      <c r="C56" s="8"/>
      <c r="D56" s="8"/>
      <c r="E56" s="8"/>
      <c r="F56" s="8"/>
      <c r="G56" s="15"/>
      <c r="H56" s="15"/>
      <c r="I56" s="14">
        <f>IFERROR(G56*H56,0)</f>
        <v>0</v>
      </c>
      <c r="J56" s="15"/>
      <c r="K56" s="14">
        <f>IFERROR(G56*J56,0)</f>
        <v>0</v>
      </c>
      <c r="L56" s="14">
        <f>IFERROR(K56-I56,0)</f>
        <v>0</v>
      </c>
      <c r="M56" s="6">
        <f>IFERROR(L56/I56,0)</f>
        <v>0</v>
      </c>
      <c r="N56" s="15"/>
      <c r="O56" s="15"/>
      <c r="P56" s="6">
        <f>IFERROR(O56/N56-1,0)</f>
        <v>0</v>
      </c>
    </row>
    <row r="57" spans="1:16">
      <c r="A57" s="8"/>
      <c r="B57" s="8"/>
      <c r="C57" s="8"/>
      <c r="D57" s="8"/>
      <c r="E57" s="8"/>
      <c r="F57" s="8"/>
      <c r="G57" s="15"/>
      <c r="H57" s="15"/>
      <c r="I57" s="14">
        <f>IFERROR(G57*H57,0)</f>
        <v>0</v>
      </c>
      <c r="J57" s="15"/>
      <c r="K57" s="14">
        <f>IFERROR(G57*J57,0)</f>
        <v>0</v>
      </c>
      <c r="L57" s="14">
        <f>IFERROR(K57-I57,0)</f>
        <v>0</v>
      </c>
      <c r="M57" s="6">
        <f>IFERROR(L57/I57,0)</f>
        <v>0</v>
      </c>
      <c r="N57" s="15"/>
      <c r="O57" s="15"/>
      <c r="P57" s="6">
        <f>IFERROR(O57/N57-1,0)</f>
        <v>0</v>
      </c>
    </row>
    <row r="58" spans="1:16">
      <c r="A58" s="8"/>
      <c r="B58" s="8"/>
      <c r="C58" s="8"/>
      <c r="D58" s="8"/>
      <c r="E58" s="8"/>
      <c r="F58" s="8"/>
      <c r="G58" s="15"/>
      <c r="H58" s="15"/>
      <c r="I58" s="14">
        <f>IFERROR(G58*H58,0)</f>
        <v>0</v>
      </c>
      <c r="J58" s="15"/>
      <c r="K58" s="14">
        <f>IFERROR(G58*J58,0)</f>
        <v>0</v>
      </c>
      <c r="L58" s="14">
        <f>IFERROR(K58-I58,0)</f>
        <v>0</v>
      </c>
      <c r="M58" s="6">
        <f>IFERROR(L58/I58,0)</f>
        <v>0</v>
      </c>
      <c r="N58" s="15"/>
      <c r="O58" s="15"/>
      <c r="P58" s="6">
        <f>IFERROR(O58/N58-1,0)</f>
        <v>0</v>
      </c>
    </row>
    <row r="59" spans="1:16">
      <c r="A59" s="8"/>
      <c r="B59" s="8"/>
      <c r="C59" s="8"/>
      <c r="D59" s="8"/>
      <c r="E59" s="8"/>
      <c r="F59" s="8"/>
      <c r="G59" s="15"/>
      <c r="H59" s="15"/>
      <c r="I59" s="14">
        <f>IFERROR(G59*H59,0)</f>
        <v>0</v>
      </c>
      <c r="J59" s="15"/>
      <c r="K59" s="14">
        <f>IFERROR(G59*J59,0)</f>
        <v>0</v>
      </c>
      <c r="L59" s="14">
        <f>IFERROR(K59-I59,0)</f>
        <v>0</v>
      </c>
      <c r="M59" s="6">
        <f>IFERROR(L59/I59,0)</f>
        <v>0</v>
      </c>
      <c r="N59" s="15"/>
      <c r="O59" s="15"/>
      <c r="P59" s="6">
        <f>IFERROR(O59/N59-1,0)</f>
        <v>0</v>
      </c>
    </row>
    <row r="60" spans="1:16">
      <c r="A60" s="8"/>
      <c r="B60" s="8"/>
      <c r="C60" s="8"/>
      <c r="D60" s="8"/>
      <c r="E60" s="8"/>
      <c r="F60" s="8"/>
      <c r="G60" s="15"/>
      <c r="H60" s="15"/>
      <c r="I60" s="14">
        <f>IFERROR(G60*H60,0)</f>
        <v>0</v>
      </c>
      <c r="J60" s="15"/>
      <c r="K60" s="14">
        <f>IFERROR(G60*J60,0)</f>
        <v>0</v>
      </c>
      <c r="L60" s="14">
        <f>IFERROR(K60-I60,0)</f>
        <v>0</v>
      </c>
      <c r="M60" s="6">
        <f>IFERROR(L60/I60,0)</f>
        <v>0</v>
      </c>
      <c r="N60" s="15"/>
      <c r="O60" s="15"/>
      <c r="P60" s="6">
        <f>IFERROR(O60/N60-1,0)</f>
        <v>0</v>
      </c>
    </row>
    <row r="61" spans="1:16">
      <c r="A61" s="8"/>
      <c r="B61" s="8"/>
      <c r="C61" s="8"/>
      <c r="D61" s="8"/>
      <c r="E61" s="8"/>
      <c r="F61" s="8"/>
      <c r="G61" s="15"/>
      <c r="H61" s="15"/>
      <c r="I61" s="14">
        <f>IFERROR(G61*H61,0)</f>
        <v>0</v>
      </c>
      <c r="J61" s="15"/>
      <c r="K61" s="14">
        <f>IFERROR(G61*J61,0)</f>
        <v>0</v>
      </c>
      <c r="L61" s="14">
        <f>IFERROR(K61-I61,0)</f>
        <v>0</v>
      </c>
      <c r="M61" s="6">
        <f>IFERROR(L61/I61,0)</f>
        <v>0</v>
      </c>
      <c r="N61" s="15"/>
      <c r="O61" s="15"/>
      <c r="P61" s="6">
        <f>IFERROR(O61/N61-1,0)</f>
        <v>0</v>
      </c>
    </row>
    <row r="62" spans="1:16">
      <c r="A62" s="8"/>
      <c r="B62" s="8"/>
      <c r="C62" s="8"/>
      <c r="D62" s="8"/>
      <c r="E62" s="8"/>
      <c r="F62" s="8"/>
      <c r="G62" s="15"/>
      <c r="H62" s="15"/>
      <c r="I62" s="14">
        <f>IFERROR(G62*H62,0)</f>
        <v>0</v>
      </c>
      <c r="J62" s="15"/>
      <c r="K62" s="14">
        <f>IFERROR(G62*J62,0)</f>
        <v>0</v>
      </c>
      <c r="L62" s="14">
        <f>IFERROR(K62-I62,0)</f>
        <v>0</v>
      </c>
      <c r="M62" s="6">
        <f>IFERROR(L62/I62,0)</f>
        <v>0</v>
      </c>
      <c r="N62" s="15"/>
      <c r="O62" s="15"/>
      <c r="P62" s="6">
        <f>IFERROR(O62/N62-1,0)</f>
        <v>0</v>
      </c>
    </row>
    <row r="63" spans="1:16">
      <c r="A63" s="8"/>
      <c r="B63" s="8"/>
      <c r="C63" s="8"/>
      <c r="D63" s="8"/>
      <c r="E63" s="8"/>
      <c r="F63" s="8"/>
      <c r="G63" s="15"/>
      <c r="H63" s="15"/>
      <c r="I63" s="14">
        <f>IFERROR(G63*H63,0)</f>
        <v>0</v>
      </c>
      <c r="J63" s="15"/>
      <c r="K63" s="14">
        <f>IFERROR(G63*J63,0)</f>
        <v>0</v>
      </c>
      <c r="L63" s="14">
        <f>IFERROR(K63-I63,0)</f>
        <v>0</v>
      </c>
      <c r="M63" s="6">
        <f>IFERROR(L63/I63,0)</f>
        <v>0</v>
      </c>
      <c r="N63" s="15"/>
      <c r="O63" s="15"/>
      <c r="P63" s="6">
        <f>IFERROR(O63/N63-1,0)</f>
        <v>0</v>
      </c>
    </row>
    <row r="64" spans="1:16">
      <c r="A64" s="8"/>
      <c r="B64" s="8"/>
      <c r="C64" s="8"/>
      <c r="D64" s="8"/>
      <c r="E64" s="8"/>
      <c r="F64" s="8"/>
      <c r="G64" s="15"/>
      <c r="H64" s="15"/>
      <c r="I64" s="14">
        <f>IFERROR(G64*H64,0)</f>
        <v>0</v>
      </c>
      <c r="J64" s="15"/>
      <c r="K64" s="14">
        <f>IFERROR(G64*J64,0)</f>
        <v>0</v>
      </c>
      <c r="L64" s="14">
        <f>IFERROR(K64-I64,0)</f>
        <v>0</v>
      </c>
      <c r="M64" s="6">
        <f>IFERROR(L64/I64,0)</f>
        <v>0</v>
      </c>
      <c r="N64" s="15"/>
      <c r="O64" s="15"/>
      <c r="P64" s="6">
        <f>IFERROR(O64/N64-1,0)</f>
        <v>0</v>
      </c>
    </row>
    <row r="65" spans="1:16">
      <c r="A65" s="8"/>
      <c r="B65" s="8"/>
      <c r="C65" s="8"/>
      <c r="D65" s="8"/>
      <c r="E65" s="8"/>
      <c r="F65" s="8"/>
      <c r="G65" s="15"/>
      <c r="H65" s="15"/>
      <c r="I65" s="14">
        <f>IFERROR(G65*H65,0)</f>
        <v>0</v>
      </c>
      <c r="J65" s="15"/>
      <c r="K65" s="14">
        <f>IFERROR(G65*J65,0)</f>
        <v>0</v>
      </c>
      <c r="L65" s="14">
        <f>IFERROR(K65-I65,0)</f>
        <v>0</v>
      </c>
      <c r="M65" s="6">
        <f>IFERROR(L65/I65,0)</f>
        <v>0</v>
      </c>
      <c r="N65" s="15"/>
      <c r="O65" s="15"/>
      <c r="P65" s="6">
        <f>IFERROR(O65/N65-1,0)</f>
        <v>0</v>
      </c>
    </row>
    <row r="66" spans="1:16">
      <c r="A66" s="8"/>
      <c r="B66" s="8"/>
      <c r="C66" s="8"/>
      <c r="D66" s="8"/>
      <c r="E66" s="8"/>
      <c r="F66" s="8"/>
      <c r="G66" s="15"/>
      <c r="H66" s="15"/>
      <c r="I66" s="14">
        <f>IFERROR(G66*H66,0)</f>
        <v>0</v>
      </c>
      <c r="J66" s="15"/>
      <c r="K66" s="14">
        <f>IFERROR(G66*J66,0)</f>
        <v>0</v>
      </c>
      <c r="L66" s="14">
        <f>IFERROR(K66-I66,0)</f>
        <v>0</v>
      </c>
      <c r="M66" s="6">
        <f>IFERROR(L66/I66,0)</f>
        <v>0</v>
      </c>
      <c r="N66" s="15"/>
      <c r="O66" s="15"/>
      <c r="P66" s="6">
        <f>IFERROR(O66/N66-1,0)</f>
        <v>0</v>
      </c>
    </row>
    <row r="67" spans="1:16">
      <c r="A67" s="8"/>
      <c r="B67" s="8"/>
      <c r="C67" s="8"/>
      <c r="D67" s="8"/>
      <c r="E67" s="8"/>
      <c r="F67" s="8"/>
      <c r="G67" s="15"/>
      <c r="H67" s="15"/>
      <c r="I67" s="14">
        <f>IFERROR(G67*H67,0)</f>
        <v>0</v>
      </c>
      <c r="J67" s="15"/>
      <c r="K67" s="14">
        <f>IFERROR(G67*J67,0)</f>
        <v>0</v>
      </c>
      <c r="L67" s="14">
        <f>IFERROR(K67-I67,0)</f>
        <v>0</v>
      </c>
      <c r="M67" s="6">
        <f>IFERROR(L67/I67,0)</f>
        <v>0</v>
      </c>
      <c r="N67" s="15"/>
      <c r="O67" s="15"/>
      <c r="P67" s="6">
        <f>IFERROR(O67/N67-1,0)</f>
        <v>0</v>
      </c>
    </row>
    <row r="68" spans="1:16">
      <c r="A68" s="8"/>
      <c r="B68" s="8"/>
      <c r="C68" s="8"/>
      <c r="D68" s="8"/>
      <c r="E68" s="8"/>
      <c r="F68" s="8"/>
      <c r="G68" s="15"/>
      <c r="H68" s="15"/>
      <c r="I68" s="14">
        <f>IFERROR(G68*H68,0)</f>
        <v>0</v>
      </c>
      <c r="J68" s="15"/>
      <c r="K68" s="14">
        <f>IFERROR(G68*J68,0)</f>
        <v>0</v>
      </c>
      <c r="L68" s="14">
        <f>IFERROR(K68-I68,0)</f>
        <v>0</v>
      </c>
      <c r="M68" s="6">
        <f>IFERROR(L68/I68,0)</f>
        <v>0</v>
      </c>
      <c r="N68" s="15"/>
      <c r="O68" s="15"/>
      <c r="P68" s="6">
        <f>IFERROR(O68/N68-1,0)</f>
        <v>0</v>
      </c>
    </row>
    <row r="69" spans="1:16">
      <c r="A69" s="8"/>
      <c r="B69" s="8"/>
      <c r="C69" s="8"/>
      <c r="D69" s="8"/>
      <c r="E69" s="8"/>
      <c r="F69" s="8"/>
      <c r="G69" s="15"/>
      <c r="H69" s="15"/>
      <c r="I69" s="14">
        <f>IFERROR(G69*H69,0)</f>
        <v>0</v>
      </c>
      <c r="J69" s="15"/>
      <c r="K69" s="14">
        <f>IFERROR(G69*J69,0)</f>
        <v>0</v>
      </c>
      <c r="L69" s="14">
        <f>IFERROR(K69-I69,0)</f>
        <v>0</v>
      </c>
      <c r="M69" s="6">
        <f>IFERROR(L69/I69,0)</f>
        <v>0</v>
      </c>
      <c r="N69" s="15"/>
      <c r="O69" s="15"/>
      <c r="P69" s="6">
        <f>IFERROR(O69/N69-1,0)</f>
        <v>0</v>
      </c>
    </row>
    <row r="70" spans="1:16">
      <c r="A70" s="8"/>
      <c r="B70" s="8"/>
      <c r="C70" s="8"/>
      <c r="D70" s="8"/>
      <c r="E70" s="8"/>
      <c r="F70" s="8"/>
      <c r="G70" s="15"/>
      <c r="H70" s="15"/>
      <c r="I70" s="14">
        <f>IFERROR(G70*H70,0)</f>
        <v>0</v>
      </c>
      <c r="J70" s="15"/>
      <c r="K70" s="14">
        <f>IFERROR(G70*J70,0)</f>
        <v>0</v>
      </c>
      <c r="L70" s="14">
        <f>IFERROR(K70-I70,0)</f>
        <v>0</v>
      </c>
      <c r="M70" s="6">
        <f>IFERROR(L70/I70,0)</f>
        <v>0</v>
      </c>
      <c r="N70" s="15"/>
      <c r="O70" s="15"/>
      <c r="P70" s="6">
        <f>IFERROR(O70/N70-1,0)</f>
        <v>0</v>
      </c>
    </row>
    <row r="71" spans="1:16">
      <c r="A71" s="8"/>
      <c r="B71" s="8"/>
      <c r="C71" s="8"/>
      <c r="D71" s="8"/>
      <c r="E71" s="8"/>
      <c r="F71" s="8"/>
      <c r="G71" s="15"/>
      <c r="H71" s="15"/>
      <c r="I71" s="14">
        <f>IFERROR(G71*H71,0)</f>
        <v>0</v>
      </c>
      <c r="J71" s="15"/>
      <c r="K71" s="14">
        <f>IFERROR(G71*J71,0)</f>
        <v>0</v>
      </c>
      <c r="L71" s="14">
        <f>IFERROR(K71-I71,0)</f>
        <v>0</v>
      </c>
      <c r="M71" s="6">
        <f>IFERROR(L71/I71,0)</f>
        <v>0</v>
      </c>
      <c r="N71" s="15"/>
      <c r="O71" s="15"/>
      <c r="P71" s="6">
        <f>IFERROR(O71/N71-1,0)</f>
        <v>0</v>
      </c>
    </row>
    <row r="72" spans="1:16">
      <c r="A72" s="8"/>
      <c r="B72" s="8"/>
      <c r="C72" s="8"/>
      <c r="D72" s="8"/>
      <c r="E72" s="8"/>
      <c r="F72" s="8"/>
      <c r="G72" s="15"/>
      <c r="H72" s="15"/>
      <c r="I72" s="14">
        <f>IFERROR(G72*H72,0)</f>
        <v>0</v>
      </c>
      <c r="J72" s="15"/>
      <c r="K72" s="14">
        <f>IFERROR(G72*J72,0)</f>
        <v>0</v>
      </c>
      <c r="L72" s="14">
        <f>IFERROR(K72-I72,0)</f>
        <v>0</v>
      </c>
      <c r="M72" s="6">
        <f>IFERROR(L72/I72,0)</f>
        <v>0</v>
      </c>
      <c r="N72" s="15"/>
      <c r="O72" s="15"/>
      <c r="P72" s="6">
        <f>IFERROR(O72/N72-1,0)</f>
        <v>0</v>
      </c>
    </row>
    <row r="73" spans="1:16">
      <c r="A73" s="8"/>
      <c r="B73" s="8"/>
      <c r="C73" s="8"/>
      <c r="D73" s="8"/>
      <c r="E73" s="8"/>
      <c r="F73" s="8"/>
      <c r="G73" s="15"/>
      <c r="H73" s="15"/>
      <c r="I73" s="14">
        <f>IFERROR(G73*H73,0)</f>
        <v>0</v>
      </c>
      <c r="J73" s="15"/>
      <c r="K73" s="14">
        <f>IFERROR(G73*J73,0)</f>
        <v>0</v>
      </c>
      <c r="L73" s="14">
        <f>IFERROR(K73-I73,0)</f>
        <v>0</v>
      </c>
      <c r="M73" s="6">
        <f>IFERROR(L73/I73,0)</f>
        <v>0</v>
      </c>
      <c r="N73" s="15"/>
      <c r="O73" s="15"/>
      <c r="P73" s="6">
        <f>IFERROR(O73/N73-1,0)</f>
        <v>0</v>
      </c>
    </row>
    <row r="74" spans="1:16">
      <c r="A74" s="8"/>
      <c r="B74" s="8"/>
      <c r="C74" s="8"/>
      <c r="D74" s="8"/>
      <c r="E74" s="8"/>
      <c r="F74" s="8"/>
      <c r="G74" s="15"/>
      <c r="H74" s="15"/>
      <c r="I74" s="14">
        <f>IFERROR(G74*H74,0)</f>
        <v>0</v>
      </c>
      <c r="J74" s="15"/>
      <c r="K74" s="14">
        <f>IFERROR(G74*J74,0)</f>
        <v>0</v>
      </c>
      <c r="L74" s="14">
        <f>IFERROR(K74-I74,0)</f>
        <v>0</v>
      </c>
      <c r="M74" s="6">
        <f>IFERROR(L74/I74,0)</f>
        <v>0</v>
      </c>
      <c r="N74" s="15"/>
      <c r="O74" s="15"/>
      <c r="P74" s="6">
        <f>IFERROR(O74/N74-1,0)</f>
        <v>0</v>
      </c>
    </row>
    <row r="75" spans="1:16">
      <c r="A75" s="8"/>
      <c r="B75" s="8"/>
      <c r="C75" s="8"/>
      <c r="D75" s="8"/>
      <c r="E75" s="8"/>
      <c r="F75" s="8"/>
      <c r="G75" s="15"/>
      <c r="H75" s="15"/>
      <c r="I75" s="14">
        <f>IFERROR(G75*H75,0)</f>
        <v>0</v>
      </c>
      <c r="J75" s="15"/>
      <c r="K75" s="14">
        <f>IFERROR(G75*J75,0)</f>
        <v>0</v>
      </c>
      <c r="L75" s="14">
        <f>IFERROR(K75-I75,0)</f>
        <v>0</v>
      </c>
      <c r="M75" s="6">
        <f>IFERROR(L75/I75,0)</f>
        <v>0</v>
      </c>
      <c r="N75" s="15"/>
      <c r="O75" s="15"/>
      <c r="P75" s="6">
        <f>IFERROR(O75/N75-1,0)</f>
        <v>0</v>
      </c>
    </row>
    <row r="76" spans="1:16">
      <c r="A76" s="8"/>
      <c r="B76" s="8"/>
      <c r="C76" s="8"/>
      <c r="D76" s="8"/>
      <c r="E76" s="8"/>
      <c r="F76" s="8"/>
      <c r="G76" s="15"/>
      <c r="H76" s="15"/>
      <c r="I76" s="14">
        <f>IFERROR(G76*H76,0)</f>
        <v>0</v>
      </c>
      <c r="J76" s="15"/>
      <c r="K76" s="14">
        <f>IFERROR(G76*J76,0)</f>
        <v>0</v>
      </c>
      <c r="L76" s="14">
        <f>IFERROR(K76-I76,0)</f>
        <v>0</v>
      </c>
      <c r="M76" s="6">
        <f>IFERROR(L76/I76,0)</f>
        <v>0</v>
      </c>
      <c r="N76" s="15"/>
      <c r="O76" s="15"/>
      <c r="P76" s="6">
        <f>IFERROR(O76/N76-1,0)</f>
        <v>0</v>
      </c>
    </row>
    <row r="77" spans="1:16">
      <c r="A77" s="8"/>
      <c r="B77" s="8"/>
      <c r="C77" s="8"/>
      <c r="D77" s="8"/>
      <c r="E77" s="8"/>
      <c r="F77" s="8"/>
      <c r="G77" s="15"/>
      <c r="H77" s="15"/>
      <c r="I77" s="14">
        <f>IFERROR(G77*H77,0)</f>
        <v>0</v>
      </c>
      <c r="J77" s="15"/>
      <c r="K77" s="14">
        <f>IFERROR(G77*J77,0)</f>
        <v>0</v>
      </c>
      <c r="L77" s="14">
        <f>IFERROR(K77-I77,0)</f>
        <v>0</v>
      </c>
      <c r="M77" s="6">
        <f>IFERROR(L77/I77,0)</f>
        <v>0</v>
      </c>
      <c r="N77" s="15"/>
      <c r="O77" s="15"/>
      <c r="P77" s="6">
        <f>IFERROR(O77/N77-1,0)</f>
        <v>0</v>
      </c>
    </row>
    <row r="78" spans="1:16">
      <c r="A78" s="8"/>
      <c r="B78" s="8"/>
      <c r="C78" s="8"/>
      <c r="D78" s="8"/>
      <c r="E78" s="8"/>
      <c r="F78" s="8"/>
      <c r="G78" s="15"/>
      <c r="H78" s="15"/>
      <c r="I78" s="14">
        <f>IFERROR(G78*H78,0)</f>
        <v>0</v>
      </c>
      <c r="J78" s="15"/>
      <c r="K78" s="14">
        <f>IFERROR(G78*J78,0)</f>
        <v>0</v>
      </c>
      <c r="L78" s="14">
        <f>IFERROR(K78-I78,0)</f>
        <v>0</v>
      </c>
      <c r="M78" s="6">
        <f>IFERROR(L78/I78,0)</f>
        <v>0</v>
      </c>
      <c r="N78" s="15"/>
      <c r="O78" s="15"/>
      <c r="P78" s="6">
        <f>IFERROR(O78/N78-1,0)</f>
        <v>0</v>
      </c>
    </row>
    <row r="79" spans="1:16">
      <c r="A79" s="8"/>
      <c r="B79" s="8"/>
      <c r="C79" s="8"/>
      <c r="D79" s="8"/>
      <c r="E79" s="8"/>
      <c r="F79" s="8"/>
      <c r="G79" s="15"/>
      <c r="H79" s="15"/>
      <c r="I79" s="14">
        <f>IFERROR(G79*H79,0)</f>
        <v>0</v>
      </c>
      <c r="J79" s="15"/>
      <c r="K79" s="14">
        <f>IFERROR(G79*J79,0)</f>
        <v>0</v>
      </c>
      <c r="L79" s="14">
        <f>IFERROR(K79-I79,0)</f>
        <v>0</v>
      </c>
      <c r="M79" s="6">
        <f>IFERROR(L79/I79,0)</f>
        <v>0</v>
      </c>
      <c r="N79" s="15"/>
      <c r="O79" s="15"/>
      <c r="P79" s="6">
        <f>IFERROR(O79/N79-1,0)</f>
        <v>0</v>
      </c>
    </row>
    <row r="80" spans="1:16">
      <c r="A80" s="8"/>
      <c r="B80" s="8"/>
      <c r="C80" s="8"/>
      <c r="D80" s="8"/>
      <c r="E80" s="8"/>
      <c r="F80" s="8"/>
      <c r="G80" s="15"/>
      <c r="H80" s="15"/>
      <c r="I80" s="14">
        <f>IFERROR(G80*H80,0)</f>
        <v>0</v>
      </c>
      <c r="J80" s="15"/>
      <c r="K80" s="14">
        <f>IFERROR(G80*J80,0)</f>
        <v>0</v>
      </c>
      <c r="L80" s="14">
        <f>IFERROR(K80-I80,0)</f>
        <v>0</v>
      </c>
      <c r="M80" s="6">
        <f>IFERROR(L80/I80,0)</f>
        <v>0</v>
      </c>
      <c r="N80" s="15"/>
      <c r="O80" s="15"/>
      <c r="P80" s="6">
        <f>IFERROR(O80/N80-1,0)</f>
        <v>0</v>
      </c>
    </row>
    <row r="81" spans="1:16">
      <c r="A81" s="8"/>
      <c r="B81" s="8"/>
      <c r="C81" s="8"/>
      <c r="D81" s="8"/>
      <c r="E81" s="8"/>
      <c r="F81" s="8"/>
      <c r="G81" s="15"/>
      <c r="H81" s="15"/>
      <c r="I81" s="14">
        <f>IFERROR(G81*H81,0)</f>
        <v>0</v>
      </c>
      <c r="J81" s="15"/>
      <c r="K81" s="14">
        <f>IFERROR(G81*J81,0)</f>
        <v>0</v>
      </c>
      <c r="L81" s="14">
        <f>IFERROR(K81-I81,0)</f>
        <v>0</v>
      </c>
      <c r="M81" s="6">
        <f>IFERROR(L81/I81,0)</f>
        <v>0</v>
      </c>
      <c r="N81" s="15"/>
      <c r="O81" s="15"/>
      <c r="P81" s="6">
        <f>IFERROR(O81/N81-1,0)</f>
        <v>0</v>
      </c>
    </row>
    <row r="82" spans="1:16">
      <c r="A82" s="8"/>
      <c r="B82" s="8"/>
      <c r="C82" s="8"/>
      <c r="D82" s="8"/>
      <c r="E82" s="8"/>
      <c r="F82" s="8"/>
      <c r="G82" s="15"/>
      <c r="H82" s="15"/>
      <c r="I82" s="14">
        <f>IFERROR(G82*H82,0)</f>
        <v>0</v>
      </c>
      <c r="J82" s="15"/>
      <c r="K82" s="14">
        <f>IFERROR(G82*J82,0)</f>
        <v>0</v>
      </c>
      <c r="L82" s="14">
        <f>IFERROR(K82-I82,0)</f>
        <v>0</v>
      </c>
      <c r="M82" s="6">
        <f>IFERROR(L82/I82,0)</f>
        <v>0</v>
      </c>
      <c r="N82" s="15"/>
      <c r="O82" s="15"/>
      <c r="P82" s="6">
        <f>IFERROR(O82/N82-1,0)</f>
        <v>0</v>
      </c>
    </row>
    <row r="83" spans="1:16">
      <c r="A83" s="8"/>
      <c r="B83" s="8"/>
      <c r="C83" s="8"/>
      <c r="D83" s="8"/>
      <c r="E83" s="8"/>
      <c r="F83" s="8"/>
      <c r="G83" s="15"/>
      <c r="H83" s="15"/>
      <c r="I83" s="14">
        <f>IFERROR(G83*H83,0)</f>
        <v>0</v>
      </c>
      <c r="J83" s="15"/>
      <c r="K83" s="14">
        <f>IFERROR(G83*J83,0)</f>
        <v>0</v>
      </c>
      <c r="L83" s="14">
        <f>IFERROR(K83-I83,0)</f>
        <v>0</v>
      </c>
      <c r="M83" s="6">
        <f>IFERROR(L83/I83,0)</f>
        <v>0</v>
      </c>
      <c r="N83" s="15"/>
      <c r="O83" s="15"/>
      <c r="P83" s="6">
        <f>IFERROR(O83/N83-1,0)</f>
        <v>0</v>
      </c>
    </row>
    <row r="84" spans="1:16">
      <c r="A84" s="8"/>
      <c r="B84" s="8"/>
      <c r="C84" s="8"/>
      <c r="D84" s="8"/>
      <c r="E84" s="8"/>
      <c r="F84" s="8"/>
      <c r="G84" s="15"/>
      <c r="H84" s="15"/>
      <c r="I84" s="14">
        <f>IFERROR(G84*H84,0)</f>
        <v>0</v>
      </c>
      <c r="J84" s="15"/>
      <c r="K84" s="14">
        <f>IFERROR(G84*J84,0)</f>
        <v>0</v>
      </c>
      <c r="L84" s="14">
        <f>IFERROR(K84-I84,0)</f>
        <v>0</v>
      </c>
      <c r="M84" s="6">
        <f>IFERROR(L84/I84,0)</f>
        <v>0</v>
      </c>
      <c r="N84" s="15"/>
      <c r="O84" s="15"/>
      <c r="P84" s="6">
        <f>IFERROR(O84/N84-1,0)</f>
        <v>0</v>
      </c>
    </row>
    <row r="85" spans="1:16">
      <c r="A85" s="8"/>
      <c r="B85" s="8"/>
      <c r="C85" s="8"/>
      <c r="D85" s="8"/>
      <c r="E85" s="8"/>
      <c r="F85" s="8"/>
      <c r="G85" s="15"/>
      <c r="H85" s="15"/>
      <c r="I85" s="14">
        <f>IFERROR(G85*H85,0)</f>
        <v>0</v>
      </c>
      <c r="J85" s="15"/>
      <c r="K85" s="14">
        <f>IFERROR(G85*J85,0)</f>
        <v>0</v>
      </c>
      <c r="L85" s="14">
        <f>IFERROR(K85-I85,0)</f>
        <v>0</v>
      </c>
      <c r="M85" s="6">
        <f>IFERROR(L85/I85,0)</f>
        <v>0</v>
      </c>
      <c r="N85" s="15"/>
      <c r="O85" s="15"/>
      <c r="P85" s="6">
        <f>IFERROR(O85/N85-1,0)</f>
        <v>0</v>
      </c>
    </row>
    <row r="86" spans="1:16">
      <c r="A86" s="8"/>
      <c r="B86" s="8"/>
      <c r="C86" s="8"/>
      <c r="D86" s="8"/>
      <c r="E86" s="8"/>
      <c r="F86" s="8"/>
      <c r="G86" s="15"/>
      <c r="H86" s="15"/>
      <c r="I86" s="14">
        <f>IFERROR(G86*H86,0)</f>
        <v>0</v>
      </c>
      <c r="J86" s="15"/>
      <c r="K86" s="14">
        <f>IFERROR(G86*J86,0)</f>
        <v>0</v>
      </c>
      <c r="L86" s="14">
        <f>IFERROR(K86-I86,0)</f>
        <v>0</v>
      </c>
      <c r="M86" s="6">
        <f>IFERROR(L86/I86,0)</f>
        <v>0</v>
      </c>
      <c r="N86" s="15"/>
      <c r="O86" s="15"/>
      <c r="P86" s="6">
        <f>IFERROR(O86/N86-1,0)</f>
        <v>0</v>
      </c>
    </row>
    <row r="87" spans="1:16">
      <c r="A87" s="8"/>
      <c r="B87" s="8"/>
      <c r="C87" s="8"/>
      <c r="D87" s="8"/>
      <c r="E87" s="8"/>
      <c r="F87" s="8"/>
      <c r="G87" s="15"/>
      <c r="H87" s="15"/>
      <c r="I87" s="14">
        <f>IFERROR(G87*H87,0)</f>
        <v>0</v>
      </c>
      <c r="J87" s="15"/>
      <c r="K87" s="14">
        <f>IFERROR(G87*J87,0)</f>
        <v>0</v>
      </c>
      <c r="L87" s="14">
        <f>IFERROR(K87-I87,0)</f>
        <v>0</v>
      </c>
      <c r="M87" s="6">
        <f>IFERROR(L87/I87,0)</f>
        <v>0</v>
      </c>
      <c r="N87" s="15"/>
      <c r="O87" s="15"/>
      <c r="P87" s="6">
        <f>IFERROR(O87/N87-1,0)</f>
        <v>0</v>
      </c>
    </row>
    <row r="88" spans="1:16">
      <c r="A88" s="8"/>
      <c r="B88" s="8"/>
      <c r="C88" s="8"/>
      <c r="D88" s="8"/>
      <c r="E88" s="8"/>
      <c r="F88" s="8"/>
      <c r="G88" s="15"/>
      <c r="H88" s="15"/>
      <c r="I88" s="14">
        <f>IFERROR(G88*H88,0)</f>
        <v>0</v>
      </c>
      <c r="J88" s="15"/>
      <c r="K88" s="14">
        <f>IFERROR(G88*J88,0)</f>
        <v>0</v>
      </c>
      <c r="L88" s="14">
        <f>IFERROR(K88-I88,0)</f>
        <v>0</v>
      </c>
      <c r="M88" s="6">
        <f>IFERROR(L88/I88,0)</f>
        <v>0</v>
      </c>
      <c r="N88" s="15"/>
      <c r="O88" s="15"/>
      <c r="P88" s="6">
        <f>IFERROR(O88/N88-1,0)</f>
        <v>0</v>
      </c>
    </row>
    <row r="89" spans="1:16">
      <c r="A89" s="8"/>
      <c r="B89" s="8"/>
      <c r="C89" s="8"/>
      <c r="D89" s="8"/>
      <c r="E89" s="8"/>
      <c r="F89" s="8"/>
      <c r="G89" s="15"/>
      <c r="H89" s="15"/>
      <c r="I89" s="14">
        <f>IFERROR(G89*H89,0)</f>
        <v>0</v>
      </c>
      <c r="J89" s="15"/>
      <c r="K89" s="14">
        <f>IFERROR(G89*J89,0)</f>
        <v>0</v>
      </c>
      <c r="L89" s="14">
        <f>IFERROR(K89-I89,0)</f>
        <v>0</v>
      </c>
      <c r="M89" s="6">
        <f>IFERROR(L89/I89,0)</f>
        <v>0</v>
      </c>
      <c r="N89" s="15"/>
      <c r="O89" s="15"/>
      <c r="P89" s="6">
        <f>IFERROR(O89/N89-1,0)</f>
        <v>0</v>
      </c>
    </row>
    <row r="90" spans="1:16">
      <c r="A90" s="8"/>
      <c r="B90" s="8"/>
      <c r="C90" s="8"/>
      <c r="D90" s="8"/>
      <c r="E90" s="8"/>
      <c r="F90" s="8"/>
      <c r="G90" s="15"/>
      <c r="H90" s="15"/>
      <c r="I90" s="14">
        <f>IFERROR(G90*H90,0)</f>
        <v>0</v>
      </c>
      <c r="J90" s="15"/>
      <c r="K90" s="14">
        <f>IFERROR(G90*J90,0)</f>
        <v>0</v>
      </c>
      <c r="L90" s="14">
        <f>IFERROR(K90-I90,0)</f>
        <v>0</v>
      </c>
      <c r="M90" s="6">
        <f>IFERROR(L90/I90,0)</f>
        <v>0</v>
      </c>
      <c r="N90" s="15"/>
      <c r="O90" s="15"/>
      <c r="P90" s="6">
        <f>IFERROR(O90/N90-1,0)</f>
        <v>0</v>
      </c>
    </row>
    <row r="91" spans="1:16">
      <c r="A91" s="8"/>
      <c r="B91" s="8"/>
      <c r="C91" s="8"/>
      <c r="D91" s="8"/>
      <c r="E91" s="8"/>
      <c r="F91" s="8"/>
      <c r="G91" s="15"/>
      <c r="H91" s="15"/>
      <c r="I91" s="14">
        <f>IFERROR(G91*H91,0)</f>
        <v>0</v>
      </c>
      <c r="J91" s="15"/>
      <c r="K91" s="14">
        <f>IFERROR(G91*J91,0)</f>
        <v>0</v>
      </c>
      <c r="L91" s="14">
        <f>IFERROR(K91-I91,0)</f>
        <v>0</v>
      </c>
      <c r="M91" s="6">
        <f>IFERROR(L91/I91,0)</f>
        <v>0</v>
      </c>
      <c r="N91" s="15"/>
      <c r="O91" s="15"/>
      <c r="P91" s="6">
        <f>IFERROR(O91/N91-1,0)</f>
        <v>0</v>
      </c>
    </row>
    <row r="92" spans="1:16">
      <c r="A92" s="8"/>
      <c r="B92" s="8"/>
      <c r="C92" s="8"/>
      <c r="D92" s="8"/>
      <c r="E92" s="8"/>
      <c r="F92" s="8"/>
      <c r="G92" s="15"/>
      <c r="H92" s="15"/>
      <c r="I92" s="14">
        <f>IFERROR(G92*H92,0)</f>
        <v>0</v>
      </c>
      <c r="J92" s="15"/>
      <c r="K92" s="14">
        <f>IFERROR(G92*J92,0)</f>
        <v>0</v>
      </c>
      <c r="L92" s="14">
        <f>IFERROR(K92-I92,0)</f>
        <v>0</v>
      </c>
      <c r="M92" s="6">
        <f>IFERROR(L92/I92,0)</f>
        <v>0</v>
      </c>
      <c r="N92" s="15"/>
      <c r="O92" s="15"/>
      <c r="P92" s="6">
        <f>IFERROR(O92/N92-1,0)</f>
        <v>0</v>
      </c>
    </row>
    <row r="93" spans="1:16">
      <c r="A93" s="8"/>
      <c r="B93" s="8"/>
      <c r="C93" s="8"/>
      <c r="D93" s="8"/>
      <c r="E93" s="8"/>
      <c r="F93" s="8"/>
      <c r="G93" s="15"/>
      <c r="H93" s="15"/>
      <c r="I93" s="14">
        <f>IFERROR(G93*H93,0)</f>
        <v>0</v>
      </c>
      <c r="J93" s="15"/>
      <c r="K93" s="14">
        <f>IFERROR(G93*J93,0)</f>
        <v>0</v>
      </c>
      <c r="L93" s="14">
        <f>IFERROR(K93-I93,0)</f>
        <v>0</v>
      </c>
      <c r="M93" s="6">
        <f>IFERROR(L93/I93,0)</f>
        <v>0</v>
      </c>
      <c r="N93" s="15"/>
      <c r="O93" s="15"/>
      <c r="P93" s="6">
        <f>IFERROR(O93/N93-1,0)</f>
        <v>0</v>
      </c>
    </row>
    <row r="94" spans="1:16">
      <c r="A94" s="8"/>
      <c r="B94" s="8"/>
      <c r="C94" s="8"/>
      <c r="D94" s="8"/>
      <c r="E94" s="8"/>
      <c r="F94" s="8"/>
      <c r="G94" s="15"/>
      <c r="H94" s="15"/>
      <c r="I94" s="14">
        <f>IFERROR(G94*H94,0)</f>
        <v>0</v>
      </c>
      <c r="J94" s="15"/>
      <c r="K94" s="14">
        <f>IFERROR(G94*J94,0)</f>
        <v>0</v>
      </c>
      <c r="L94" s="14">
        <f>IFERROR(K94-I94,0)</f>
        <v>0</v>
      </c>
      <c r="M94" s="6">
        <f>IFERROR(L94/I94,0)</f>
        <v>0</v>
      </c>
      <c r="N94" s="15"/>
      <c r="O94" s="15"/>
      <c r="P94" s="6">
        <f>IFERROR(O94/N94-1,0)</f>
        <v>0</v>
      </c>
    </row>
    <row r="95" spans="1:16">
      <c r="A95" s="8"/>
      <c r="B95" s="8"/>
      <c r="C95" s="8"/>
      <c r="D95" s="8"/>
      <c r="E95" s="8"/>
      <c r="F95" s="8"/>
      <c r="G95" s="15"/>
      <c r="H95" s="15"/>
      <c r="I95" s="14">
        <f>IFERROR(G95*H95,0)</f>
        <v>0</v>
      </c>
      <c r="J95" s="15"/>
      <c r="K95" s="14">
        <f>IFERROR(G95*J95,0)</f>
        <v>0</v>
      </c>
      <c r="L95" s="14">
        <f>IFERROR(K95-I95,0)</f>
        <v>0</v>
      </c>
      <c r="M95" s="6">
        <f>IFERROR(L95/I95,0)</f>
        <v>0</v>
      </c>
      <c r="N95" s="15"/>
      <c r="O95" s="15"/>
      <c r="P95" s="6">
        <f>IFERROR(O95/N95-1,0)</f>
        <v>0</v>
      </c>
    </row>
    <row r="96" spans="1:16">
      <c r="A96" s="8"/>
      <c r="B96" s="8"/>
      <c r="C96" s="8"/>
      <c r="D96" s="8"/>
      <c r="E96" s="8"/>
      <c r="F96" s="8"/>
      <c r="G96" s="15"/>
      <c r="H96" s="15"/>
      <c r="I96" s="14">
        <f>IFERROR(G96*H96,0)</f>
        <v>0</v>
      </c>
      <c r="J96" s="15"/>
      <c r="K96" s="14">
        <f>IFERROR(G96*J96,0)</f>
        <v>0</v>
      </c>
      <c r="L96" s="14">
        <f>IFERROR(K96-I96,0)</f>
        <v>0</v>
      </c>
      <c r="M96" s="6">
        <f>IFERROR(L96/I96,0)</f>
        <v>0</v>
      </c>
      <c r="N96" s="15"/>
      <c r="O96" s="15"/>
      <c r="P96" s="6">
        <f>IFERROR(O96/N96-1,0)</f>
        <v>0</v>
      </c>
    </row>
    <row r="97" spans="1:16">
      <c r="A97" s="8"/>
      <c r="B97" s="8"/>
      <c r="C97" s="8"/>
      <c r="D97" s="8"/>
      <c r="E97" s="8"/>
      <c r="F97" s="8"/>
      <c r="G97" s="15"/>
      <c r="H97" s="15"/>
      <c r="I97" s="14">
        <f>IFERROR(G97*H97,0)</f>
        <v>0</v>
      </c>
      <c r="J97" s="15"/>
      <c r="K97" s="14">
        <f>IFERROR(G97*J97,0)</f>
        <v>0</v>
      </c>
      <c r="L97" s="14">
        <f>IFERROR(K97-I97,0)</f>
        <v>0</v>
      </c>
      <c r="M97" s="6">
        <f>IFERROR(L97/I97,0)</f>
        <v>0</v>
      </c>
      <c r="N97" s="15"/>
      <c r="O97" s="15"/>
      <c r="P97" s="6">
        <f>IFERROR(O97/N97-1,0)</f>
        <v>0</v>
      </c>
    </row>
    <row r="98" spans="1:16">
      <c r="A98" s="8"/>
      <c r="B98" s="8"/>
      <c r="C98" s="8"/>
      <c r="D98" s="8"/>
      <c r="E98" s="8"/>
      <c r="F98" s="8"/>
      <c r="G98" s="15"/>
      <c r="H98" s="15"/>
      <c r="I98" s="14">
        <f>IFERROR(G98*H98,0)</f>
        <v>0</v>
      </c>
      <c r="J98" s="15"/>
      <c r="K98" s="14">
        <f>IFERROR(G98*J98,0)</f>
        <v>0</v>
      </c>
      <c r="L98" s="14">
        <f>IFERROR(K98-I98,0)</f>
        <v>0</v>
      </c>
      <c r="M98" s="6">
        <f>IFERROR(L98/I98,0)</f>
        <v>0</v>
      </c>
      <c r="N98" s="15"/>
      <c r="O98" s="15"/>
      <c r="P98" s="6">
        <f>IFERROR(O98/N98-1,0)</f>
        <v>0</v>
      </c>
    </row>
    <row r="99" spans="1:16">
      <c r="A99" s="8"/>
      <c r="B99" s="8"/>
      <c r="C99" s="8"/>
      <c r="D99" s="8"/>
      <c r="E99" s="8"/>
      <c r="F99" s="8"/>
      <c r="G99" s="15"/>
      <c r="H99" s="15"/>
      <c r="I99" s="14">
        <f>IFERROR(G99*H99,0)</f>
        <v>0</v>
      </c>
      <c r="J99" s="15"/>
      <c r="K99" s="14">
        <f>IFERROR(G99*J99,0)</f>
        <v>0</v>
      </c>
      <c r="L99" s="14">
        <f>IFERROR(K99-I99,0)</f>
        <v>0</v>
      </c>
      <c r="M99" s="6">
        <f>IFERROR(L99/I99,0)</f>
        <v>0</v>
      </c>
      <c r="N99" s="15"/>
      <c r="O99" s="15"/>
      <c r="P99" s="6">
        <f>IFERROR(O99/N99-1,0)</f>
        <v>0</v>
      </c>
    </row>
    <row r="100" spans="1:16">
      <c r="A100" s="8"/>
      <c r="B100" s="8"/>
      <c r="C100" s="8"/>
      <c r="D100" s="8"/>
      <c r="E100" s="8"/>
      <c r="F100" s="8"/>
      <c r="G100" s="15"/>
      <c r="H100" s="15"/>
      <c r="I100" s="14">
        <f>IFERROR(G100*H100,0)</f>
        <v>0</v>
      </c>
      <c r="J100" s="15"/>
      <c r="K100" s="14">
        <f>IFERROR(G100*J100,0)</f>
        <v>0</v>
      </c>
      <c r="L100" s="14">
        <f>IFERROR(K100-I100,0)</f>
        <v>0</v>
      </c>
      <c r="M100" s="6">
        <f>IFERROR(L100/I100,0)</f>
        <v>0</v>
      </c>
      <c r="N100" s="15"/>
      <c r="O100" s="15"/>
      <c r="P100" s="6">
        <f>IFERROR(O100/N100-1,0)</f>
        <v>0</v>
      </c>
    </row>
    <row r="101" spans="1:16">
      <c r="A101" s="8"/>
      <c r="B101" s="8"/>
      <c r="C101" s="8"/>
      <c r="D101" s="8"/>
      <c r="E101" s="8"/>
      <c r="F101" s="8"/>
      <c r="G101" s="15"/>
      <c r="H101" s="15"/>
      <c r="I101" s="14">
        <f>IFERROR(G101*H101,0)</f>
        <v>0</v>
      </c>
      <c r="J101" s="15"/>
      <c r="K101" s="14">
        <f>IFERROR(G101*J101,0)</f>
        <v>0</v>
      </c>
      <c r="L101" s="14">
        <f>IFERROR(K101-I101,0)</f>
        <v>0</v>
      </c>
      <c r="M101" s="6">
        <f>IFERROR(L101/I101,0)</f>
        <v>0</v>
      </c>
      <c r="N101" s="15"/>
      <c r="O101" s="15"/>
      <c r="P101" s="6">
        <f>IFERROR(O101/N101-1,0)</f>
        <v>0</v>
      </c>
    </row>
    <row r="102" spans="1:16">
      <c r="A102" s="8"/>
      <c r="B102" s="8"/>
      <c r="C102" s="8"/>
      <c r="D102" s="8"/>
      <c r="E102" s="8"/>
      <c r="F102" s="8"/>
      <c r="G102" s="15"/>
      <c r="H102" s="15"/>
      <c r="I102" s="14">
        <f>IFERROR(G102*H102,0)</f>
        <v>0</v>
      </c>
      <c r="J102" s="15"/>
      <c r="K102" s="14">
        <f>IFERROR(G102*J102,0)</f>
        <v>0</v>
      </c>
      <c r="L102" s="14">
        <f>IFERROR(K102-I102,0)</f>
        <v>0</v>
      </c>
      <c r="M102" s="6">
        <f>IFERROR(L102/I102,0)</f>
        <v>0</v>
      </c>
      <c r="N102" s="15"/>
      <c r="O102" s="15"/>
      <c r="P102" s="6">
        <f>IFERROR(O102/N102-1,0)</f>
        <v>0</v>
      </c>
    </row>
    <row r="103" spans="1:16">
      <c r="A103" s="8"/>
      <c r="B103" s="8"/>
      <c r="C103" s="8"/>
      <c r="D103" s="8"/>
      <c r="E103" s="8"/>
      <c r="F103" s="8"/>
      <c r="G103" s="15"/>
      <c r="H103" s="15"/>
      <c r="I103" s="14">
        <f>IFERROR(G103*H103,0)</f>
        <v>0</v>
      </c>
      <c r="J103" s="15"/>
      <c r="K103" s="14">
        <f>IFERROR(G103*J103,0)</f>
        <v>0</v>
      </c>
      <c r="L103" s="14">
        <f>IFERROR(K103-I103,0)</f>
        <v>0</v>
      </c>
      <c r="M103" s="6">
        <f>IFERROR(L103/I103,0)</f>
        <v>0</v>
      </c>
      <c r="N103" s="15"/>
      <c r="O103" s="15"/>
      <c r="P103" s="6">
        <f>IFERROR(O103/N103-1,0)</f>
        <v>0</v>
      </c>
    </row>
  </sheetData>
  <mergeCells count="1">
    <mergeCell ref="A1:P1"/>
  </mergeCells>
  <pageMargins left="0.7" right="0.7" top="0.75" bottom="0.75" header="0.3" footer="0.3"/>
  <headerFooter>
    <oddHeader>&amp;C&amp;"Aptos"&amp;12&amp;K000000 LGE Internal Use Only&amp;1#_x000D_</oddHeader>
  </headerFooter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xr:uid="{00000000-0002-0000-0200-000000000000}">
          <x14:formula1>
            <xm:f>설정!$A$2:$A$9</xm:f>
          </x14:formula1>
          <xm:sqref>A4:A103</xm:sqref>
        </x14:dataValidation>
        <x14:dataValidation type="list" xr:uid="{00000000-0002-0000-0200-000001000000}">
          <x14:formula1>
            <xm:f>설정!$C$2:$C$3</xm:f>
          </x14:formula1>
          <xm:sqref>B4:B103</xm:sqref>
        </x14:dataValidation>
        <x14:dataValidation type="list" xr:uid="{00000000-0002-0000-0200-000002000000}">
          <x14:formula1>
            <xm:f>설정!$D$2:$D$7</xm:f>
          </x14:formula1>
          <xm:sqref>D4:D103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9"/>
  <sheetViews>
    <sheetView zoomScaleNormal="100" zoomScaleSheetLayoutView="100" workbookViewId="0"/>
  </sheetViews>
  <sheetFormatPr defaultRowHeight="15"/>
  <cols>
    <col min="1" max="4" width="18" customWidth="1"/>
    <col min="6" max="6" width="44" customWidth="1"/>
  </cols>
  <sheetData>
    <row r="1" spans="1:6">
      <c r="A1" s="2" t="s">
        <v>1</v>
      </c>
      <c r="B1" s="2" t="s">
        <v>3</v>
      </c>
      <c r="C1" s="2" t="s">
        <v>71</v>
      </c>
      <c r="D1" s="2" t="s">
        <v>5</v>
      </c>
      <c r="F1" s="1" t="s">
        <v>72</v>
      </c>
    </row>
    <row r="2" spans="1:6">
      <c r="A2" t="s">
        <v>18</v>
      </c>
      <c r="B2" t="s">
        <v>20</v>
      </c>
      <c r="C2" t="s">
        <v>19</v>
      </c>
      <c r="D2" t="s">
        <v>22</v>
      </c>
      <c r="F2" t="s">
        <v>73</v>
      </c>
    </row>
    <row r="3" spans="1:6">
      <c r="A3" t="s">
        <v>26</v>
      </c>
      <c r="B3" t="s">
        <v>74</v>
      </c>
      <c r="C3" t="s">
        <v>23</v>
      </c>
      <c r="D3" t="s">
        <v>25</v>
      </c>
      <c r="F3" t="s">
        <v>75</v>
      </c>
    </row>
    <row r="4" spans="1:6">
      <c r="A4" t="s">
        <v>29</v>
      </c>
      <c r="B4" t="s">
        <v>76</v>
      </c>
      <c r="D4" t="s">
        <v>77</v>
      </c>
      <c r="F4" t="s">
        <v>78</v>
      </c>
    </row>
    <row r="5" spans="1:6">
      <c r="A5" t="s">
        <v>32</v>
      </c>
      <c r="B5" t="s">
        <v>79</v>
      </c>
      <c r="D5" t="s">
        <v>80</v>
      </c>
      <c r="F5" t="s">
        <v>81</v>
      </c>
    </row>
    <row r="6" spans="1:6">
      <c r="A6" t="s">
        <v>35</v>
      </c>
      <c r="B6" t="s">
        <v>82</v>
      </c>
      <c r="D6" t="s">
        <v>83</v>
      </c>
    </row>
    <row r="7" spans="1:6">
      <c r="A7" t="s">
        <v>38</v>
      </c>
      <c r="B7" t="s">
        <v>84</v>
      </c>
      <c r="D7" t="s">
        <v>85</v>
      </c>
    </row>
    <row r="8" spans="1:6">
      <c r="A8" t="s">
        <v>41</v>
      </c>
      <c r="B8" t="s">
        <v>85</v>
      </c>
    </row>
    <row r="9" spans="1:6">
      <c r="A9" t="s">
        <v>85</v>
      </c>
    </row>
  </sheetData>
  <pageMargins left="0.7" right="0.7" top="0.75" bottom="0.75" header="0.3" footer="0.3"/>
  <headerFooter>
    <oddHeader>&amp;C&amp;"Aptos"&amp;12&amp;K000000 LGE Internal Use Only&amp;1#_x000D_</oddHeader>
  </headerFooter>
</worksheet>
</file>

<file path=docMetadata/LabelInfo.xml><?xml version="1.0" encoding="utf-8"?>
<clbl:labelList xmlns:clbl="http://schemas.microsoft.com/office/2020/mipLabelMetadata">
  <clbl:label id="{cc6ed9fc-fefc-4a0c-a6d6-10cf236c0d4f}" enabled="1" method="Standard" siteId="{5069cde4-642a-45c0-8094-d0c2dec10be3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이승희/책임/정보보호가시화팀</dc:creator>
  <cp:keywords/>
  <dc:description/>
  <cp:lastModifiedBy/>
  <cp:revision/>
  <dcterms:created xsi:type="dcterms:W3CDTF">2026-10-13T23:52:01Z</dcterms:created>
  <dcterms:modified xsi:type="dcterms:W3CDTF">2026-10-14T00:48:42Z</dcterms:modified>
  <cp:category/>
  <cp:contentStatus/>
</cp:coreProperties>
</file>